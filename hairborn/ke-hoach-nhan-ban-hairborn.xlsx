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e hoach listing" sheetId="1" state="visible" r:id="rId3"/>
    <sheet name="Gia dinh" sheetId="2" state="visible" r:id="rId4"/>
    <sheet name="Phan bo tu khoa" sheetId="3" state="visible" r:id="rId5"/>
    <sheet name="Rui ro trung lap" sheetId="4" state="visible" r:id="rId6"/>
    <sheet name="Theo doi 14 ngay" sheetId="5" state="visible" r:id="rId7"/>
    <sheet name="Lich ra mat" sheetId="6" state="visible" r:id="rId8"/>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D5" authorId="0">
      <text>
        <r>
          <rPr>
            <sz val="10"/>
            <rFont val="Arial"/>
            <family val="2"/>
          </rPr>
          <t xml:space="preserve">Giá lẻ từ file mass_update: Muối TBC 200.000, Gội bồ kết 200g 191.000, Ủ Collagen 445.000, Lăn tóc 339.000</t>
        </r>
      </text>
    </comment>
    <comment ref="E5" authorId="0">
      <text>
        <r>
          <rPr>
            <sz val="10"/>
            <rFont val="Arial"/>
            <family val="2"/>
          </rPr>
          <t xml:space="preserve">Giá đề xuất, giảm khoảng 10-15% so với tổng giá lẻ. Sửa tùy chiến lược khuyến mãi.</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L4" authorId="0">
      <text>
        <r>
          <rPr>
            <sz val="10"/>
            <rFont val="Arial"/>
            <family val="2"/>
          </rPr>
          <t xml:space="preserve">Ngưỡng chẩn đoán (200 hiển thị, CTR 1,5%, CR 5%, ACOS 25%) là mốc tham khảo. Shop hiện có CTR ads ~1,5–2,8% và tỉ lệ chuyển đổi ~10%.</t>
        </r>
      </text>
    </comment>
  </commentList>
</comments>
</file>

<file path=xl/sharedStrings.xml><?xml version="1.0" encoding="utf-8"?>
<sst xmlns="http://schemas.openxmlformats.org/spreadsheetml/2006/main" count="155" uniqueCount="151">
  <si>
    <t xml:space="preserve">KẾ HOẠCH 4 LISTING NHÂN BẢN THEO VẤN ĐỀ (giá lẻ lấy từ file mass_update của shop)</t>
  </si>
  <si>
    <t xml:space="preserve">Chữ xanh = số nhập tay (sửa được). Chữ đen = công thức. Ô vàng ở sheet "Gia dinh".</t>
  </si>
  <si>
    <t xml:space="preserve">Mã</t>
  </si>
  <si>
    <t xml:space="preserve">Vấn đề / tệp khách</t>
  </si>
  <si>
    <t xml:space="preserve">Thành phần combo</t>
  </si>
  <si>
    <t xml:space="preserve">Tổng giá lẻ (VND)</t>
  </si>
  <si>
    <t xml:space="preserve">Giá combo đề xuất (VND)</t>
  </si>
  <si>
    <t xml:space="preserve">% giảm so với giá lẻ</t>
  </si>
  <si>
    <t xml:space="preserve">Giá vốn (VND)</t>
  </si>
  <si>
    <t xml:space="preserve">Phí sàn (VND)</t>
  </si>
  <si>
    <t xml:space="preserve">Ads @ACOS ra mắt (VND)</t>
  </si>
  <si>
    <t xml:space="preserve">Lãi/đơn giai đoạn ra mắt (VND)</t>
  </si>
  <si>
    <t xml:space="preserve">% lãi ra mắt</t>
  </si>
  <si>
    <t xml:space="preserve">Ads @ACOS ổn định (VND)</t>
  </si>
  <si>
    <t xml:space="preserve">Lãi/đơn giai đoạn ổn định (VND)</t>
  </si>
  <si>
    <t xml:space="preserve">% lãi ổn định</t>
  </si>
  <si>
    <t xml:space="preserve">ACOS hòa vốn</t>
  </si>
  <si>
    <t xml:space="preserve">Tên listing (mẫu)</t>
  </si>
  <si>
    <t xml:space="preserve">Ý tưởng ảnh bìa</t>
  </si>
  <si>
    <t xml:space="preserve">Tuần ra mắt</t>
  </si>
  <si>
    <t xml:space="preserve">A</t>
  </si>
  <si>
    <t xml:space="preserve">Da đầu dầu, tóc bết nhanh: dân văn phòng, người đội mũ bảo hiểm</t>
  </si>
  <si>
    <t xml:space="preserve">2 Muối tẩy TBC da đầu 50g + 1 Dầu gội bồ kết 200g</t>
  </si>
  <si>
    <t xml:space="preserve">Bộ Làm Sạch Da Đầu Dầu Bết Hairborn: 2 Muối Tẩy Tế Bào Chết Da Đầu 50g + Dầu Gội Bồ Kết 200g, Tóc Bồng Nhẹ</t>
  </si>
  <si>
    <t xml:space="preserve">Ảnh đôi chân tóc bết và chân tóc bồng. Chữ lớn: "HẾT BẾT – TÓC BỒNG CẢ NGÀY"</t>
  </si>
  <si>
    <t xml:space="preserve">Tuần 1 (13–19/10)</t>
  </si>
  <si>
    <t xml:space="preserve">B</t>
  </si>
  <si>
    <t xml:space="preserve">Gàu, da đầu khô bong vảy: đúng mùa hanh khô cuối năm</t>
  </si>
  <si>
    <t xml:space="preserve">2 Dầu gội bồ kết 200g + 1 Muối tẩy TBC da đầu 50g</t>
  </si>
  <si>
    <t xml:space="preserve">Liệu Trình Sạch Gàu 1 Tháng Hairborn: 2 Dầu Gội Bồ Kết 200g + Muối Tẩy Tế Bào Chết Da Đầu, Giảm Bong Vảy</t>
  </si>
  <si>
    <t xml:space="preserve">Cận cảnh da đầu sạch vảy, tông xanh lá thảo dược. Chữ: "SẠCH GÀU VẢY – DA ĐẦU THÔNG THOÁNG"</t>
  </si>
  <si>
    <t xml:space="preserve">Tuần 2 (20–26/10)</t>
  </si>
  <si>
    <t xml:space="preserve">C</t>
  </si>
  <si>
    <t xml:space="preserve">Tóc khô xơ, hư tổn sau uốn, nhuộm, tẩy: nữ, tệp khác hẳn tệp rụng tóc hiện tại</t>
  </si>
  <si>
    <t xml:space="preserve">1 Mặt nạ ủ Collagen 200g + 1 Dầu gội bồ kết 200g</t>
  </si>
  <si>
    <t xml:space="preserve">Bộ Phục Hồi Tóc Khô Xơ Sau Uốn Nhuộm Hairborn: Ủ Tóc Collagen 200g + Dầu Gội Bồ Kết 200g, Tóc Mềm Mượt</t>
  </si>
  <si>
    <t xml:space="preserve">Ảnh đôi tóc xơ rối và tóc bóng mượt. Chữ: "TÓC NHUỘM UỐN – MỀM MƯỢT TRỞ LẠI"</t>
  </si>
  <si>
    <t xml:space="preserve">D</t>
  </si>
  <si>
    <t xml:space="preserve">Nam giới tóc thưa, da đầu dầu: mở tệp nam cho sản phẩm lăn chủ lực</t>
  </si>
  <si>
    <t xml:space="preserve">1 Lăn tóc 60g + 1 Muối tẩy TBC da đầu 50g</t>
  </si>
  <si>
    <t xml:space="preserve">Bộ Chăm Sóc Da Đầu Cho Nam Hairborn: Lăn Dưỡng Tóc Ion Nano 60g + Muối Tẩy Tế Bào Chết Da Đầu 50g</t>
  </si>
  <si>
    <t xml:space="preserve">Tông tối, người mẫu nam. Chữ: "DA ĐẦU SẠCH – TÓC TRÔNG DÀY HƠN"</t>
  </si>
  <si>
    <t xml:space="preserve">GIẢ ĐỊNH CHUNG (ô vàng = bạn sửa theo số thật)</t>
  </si>
  <si>
    <t xml:space="preserve">Chỉ số</t>
  </si>
  <si>
    <t xml:space="preserve">Giá trị</t>
  </si>
  <si>
    <t xml:space="preserve">Ghi chú / nguồn</t>
  </si>
  <si>
    <t xml:space="preserve">Giá vốn (% giá bán)</t>
  </si>
  <si>
    <t xml:space="preserve">Theo bạn cung cấp: giá vốn = 30% giá bán</t>
  </si>
  <si>
    <t xml:space="preserve">Tổng phí sàn (% giá bán)</t>
  </si>
  <si>
    <t xml:space="preserve">GIẢ ĐỊNH tạm: phí cố định + phí thanh toán + Freeship/Voucher Xtra. Xem số thật trong Kênh Người Bán &gt; Tài chính và sửa lại</t>
  </si>
  <si>
    <t xml:space="preserve">ACOS mục tiêu giai đoạn ra mắt (14 ngày đầu)</t>
  </si>
  <si>
    <t xml:space="preserve">Tương đương ROAS 4. Chấp nhận lãi mỏng để lấy lịch sử bán</t>
  </si>
  <si>
    <t xml:space="preserve">ACOS mục tiêu giai đoạn ổn định</t>
  </si>
  <si>
    <t xml:space="preserve">Ngang mức shop đang chạy (ACOS thực tế 30 ngày ~14-16%)</t>
  </si>
  <si>
    <t xml:space="preserve">Giảm giá combo so với tổng giá lẻ</t>
  </si>
  <si>
    <t xml:space="preserve">Khách thấy rõ lợi ích mua combo</t>
  </si>
  <si>
    <t xml:space="preserve">PHÂN BỔ TỪ KHÓA: mỗi listing chỉ chạy ads nhóm từ khóa của mình</t>
  </si>
  <si>
    <t xml:space="preserve">Cần đối chiếu với báo cáo từ khóa thực tế trong Shopee Ads trước khi chốt (file bạn gửi là báo cáo cấp chiến dịch, chưa có từ khóa).</t>
  </si>
  <si>
    <t xml:space="preserve">Listing</t>
  </si>
  <si>
    <t xml:space="preserve">Từ khóa chính (đưa vào tên + ads)</t>
  </si>
  <si>
    <t xml:space="preserve">Từ khóa phụ (ads, mô tả)</t>
  </si>
  <si>
    <t xml:space="preserve">KHÔNG chạy ads (nhường listing khác)</t>
  </si>
  <si>
    <t xml:space="preserve">Câu chữ nên dùng</t>
  </si>
  <si>
    <t xml:space="preserve">Câu chữ KHÔNG dùng</t>
  </si>
  <si>
    <t xml:space="preserve">Listing gốc (lăn tóc, Hair-Boost, combo hiện có)</t>
  </si>
  <si>
    <t xml:space="preserve">lăn tóc, peel tóc, dầu gội giảm rụng, dầu gội bồ kết, Hairborn</t>
  </si>
  <si>
    <t xml:space="preserve">lăn dưỡng tóc, serum tóc</t>
  </si>
  <si>
    <t xml:space="preserve">tóc bết, gàu, tóc nhuộm, tóc nam</t>
  </si>
  <si>
    <t xml:space="preserve">(giữ như hiện tại, xem lưu ý claim ở sheet "Rui ro")</t>
  </si>
  <si>
    <t xml:space="preserve">A – Da đầu dầu bết</t>
  </si>
  <si>
    <t xml:space="preserve">da đầu dầu, tóc bết, làm sạch da đầu</t>
  </si>
  <si>
    <t xml:space="preserve">dầu gội cho tóc dầu, tóc bết nhanh, gội đầu bị bết</t>
  </si>
  <si>
    <t xml:space="preserve">gàu, tóc nhuộm, tóc nam, mọc tóc</t>
  </si>
  <si>
    <t xml:space="preserve">làm sạch dầu thừa, tóc bồng nhẹ, da đầu thông thoáng</t>
  </si>
  <si>
    <t xml:space="preserve">trị bết vĩnh viễn, điều trị</t>
  </si>
  <si>
    <t xml:space="preserve">B – Gàu, bong vảy</t>
  </si>
  <si>
    <t xml:space="preserve">sạch gàu, dầu gội gàu, da đầu bong vảy</t>
  </si>
  <si>
    <t xml:space="preserve">da đầu khô, gàu ngứa, dầu gội thảo dược gàu</t>
  </si>
  <si>
    <t xml:space="preserve">tóc bết, tóc nhuộm, tóc nam, mọc tóc</t>
  </si>
  <si>
    <t xml:space="preserve">làm sạch gàu, giảm bong vảy, cảm giác dễ chịu</t>
  </si>
  <si>
    <t xml:space="preserve">trị gàu, trị nấm, chữa ngứa</t>
  </si>
  <si>
    <t xml:space="preserve">C – Tóc khô xơ sau uốn nhuộm</t>
  </si>
  <si>
    <t xml:space="preserve">ủ tóc phục hồi, tóc khô xơ, tóc hư tổn</t>
  </si>
  <si>
    <t xml:space="preserve">tóc nhuộm, tóc uốn, kem ủ tóc collagen, tóc chẻ ngọn</t>
  </si>
  <si>
    <t xml:space="preserve">tóc bết, gàu, tóc nam, mọc tóc</t>
  </si>
  <si>
    <t xml:space="preserve">mềm mượt, bóng tóc, giảm xơ rối</t>
  </si>
  <si>
    <t xml:space="preserve">phục hồi 100%, tái tạo tế bào tóc</t>
  </si>
  <si>
    <t xml:space="preserve">D – Da đầu nam</t>
  </si>
  <si>
    <t xml:space="preserve">chăm sóc tóc nam, dưỡng tóc nam, da đầu nam</t>
  </si>
  <si>
    <t xml:space="preserve">tóc thưa nam, serum tóc nam, tẩy da chết da đầu nam</t>
  </si>
  <si>
    <t xml:space="preserve">tóc bết (nữ), gàu, tóc nhuộm</t>
  </si>
  <si>
    <t xml:space="preserve">tóc trông dày hơn, da đầu sạch, giúp tinh chất thẩm thấu tốt hơn</t>
  </si>
  <si>
    <t xml:space="preserve">trị hói, mọc tóc, chữa rụng tóc</t>
  </si>
  <si>
    <t xml:space="preserve">RỦI RO HIỆN TẠI CẦN XỬ LÝ TRƯỚC KHI NHÂN BẢN (lấy từ file mass_update)</t>
  </si>
  <si>
    <t xml:space="preserve">Vấn đề</t>
  </si>
  <si>
    <t xml:space="preserve">Mã sản phẩm liên quan</t>
  </si>
  <si>
    <t xml:space="preserve">Chi tiết</t>
  </si>
  <si>
    <t xml:space="preserve">Đề xuất</t>
  </si>
  <si>
    <t xml:space="preserve">Lăn tóc lẻ (SKU 207785363249 / "LĂN TÓC") được bán ở rất nhiều listing</t>
  </si>
  <si>
    <t xml:space="preserve">40100338280, 42403086926, 29137451437, 43773332134, 44173314360, 45751462699, 50655842508, 51501432983, 54708857518</t>
  </si>
  <si>
    <t xml:space="preserve">Cùng 1 sản phẩm lẻ xuất hiện ở ~9 listing, giá không đồng nhất (339.000 ở đa số listing, 405.000 ở 3 listing).</t>
  </si>
  <si>
    <t xml:space="preserve">Giữ phân loại lẻ ở 40100338280 (listing chạy ads tốt nhất) và tối đa 1 listing nữa. Các listing combo chỉ nên giữ phân loại combo. Làm dần 1–2 listing mỗi ngày, ưu tiên listing có phân loại hết hàng.</t>
  </si>
  <si>
    <t xml:space="preserve">Dầu gội Hair-Boost 450g lẻ (SKU 301896326635) lặp ở nhiều listing</t>
  </si>
  <si>
    <t xml:space="preserve">42403086926, 43773332134, 44173314360, 45751462699, 51501432983</t>
  </si>
  <si>
    <t xml:space="preserve">Giá lẻ 445.000 ở 4 listing, 600.000 ở listing 45751462699.</t>
  </si>
  <si>
    <t xml:space="preserve">Giữ lẻ ở 44173314360 (listing dầu gội chính). Thống nhất giá.</t>
  </si>
  <si>
    <t xml:space="preserve">Giá cùng combo khác nhau giữa các listing</t>
  </si>
  <si>
    <t xml:space="preserve">GỘI LĂN: 707.000 / 985.000 / 1.005.000; 2 LĂN: 552.000 / 800.000</t>
  </si>
  <si>
    <t xml:space="preserve">Khách so sánh giữa các listing của chính shop sẽ thấy chênh lệch, giảm niềm tin và tăng tỉ lệ thoát trang.</t>
  </si>
  <si>
    <t xml:space="preserve">Thống nhất 1 mức giá cho mỗi combo trên toàn shop.</t>
  </si>
  <si>
    <t xml:space="preserve">Tên thương hiệu sai trong tiêu đề</t>
  </si>
  <si>
    <t xml:space="preserve">40200338484, 40200338225</t>
  </si>
  <si>
    <t xml:space="preserve">Tiêu đề ghi "Thương Hiệu: Mocha" trong khi shop là HAIRBORN.</t>
  </si>
  <si>
    <t xml:space="preserve">Sửa thành Hairborn. Sai thương hiệu dễ bị Shopee đánh dấu là thông tin sai lệch.</t>
  </si>
  <si>
    <t xml:space="preserve">Claim mang tính điều trị trong tiêu đề</t>
  </si>
  <si>
    <t xml:space="preserve">Phần lớn listing: "Mọc Tóc", "Ngăn Rụng Tóc", "Giảm Rụng"</t>
  </si>
  <si>
    <t xml:space="preserve">Theo quy định mỹ phẩm tại Việt Nam, công dụng phải khớp với phiếu công bố. "Mọc tóc", "ngăn rụng tóc" là claim dễ bị coi là công dụng điều trị.</t>
  </si>
  <si>
    <t xml:space="preserve">Đối chiếu phiếu công bố của từng sản phẩm. Listing mới KHÔNG dùng các claim này. Listing cũ cân nhắc chuyển dần sang "hỗ trợ giảm gãy rụng", "nuôi dưỡng chân tóc".</t>
  </si>
  <si>
    <t xml:space="preserve">Listing gần như hết hàng toàn bộ phân loại</t>
  </si>
  <si>
    <t xml:space="preserve">29137451437 (chỉ còn LĂN TÓC), 40200338225 (chỉ còn 2 LĂN TÓC)</t>
  </si>
  <si>
    <t xml:space="preserve">Phân loại tồn kho 0 làm giảm tỉ lệ chuyển đổi và là các bản trùng không còn tác dụng.</t>
  </si>
  <si>
    <t xml:space="preserve">Không xóa vội (giữ đánh giá). Ẩn các phân loại hết hàng, hoặc ẩn listing nếu không còn traffic.</t>
  </si>
  <si>
    <t xml:space="preserve">THEO DÕI LISTING MỚI: nhập số mỗi ngày từ Phân tích bán hàng và Shopee Ads (ô vàng)</t>
  </si>
  <si>
    <t xml:space="preserve">Dòng 5 là VÍ DỤ minh họa cách nhập. Xóa và nhập số thật.</t>
  </si>
  <si>
    <t xml:space="preserve">Ngày</t>
  </si>
  <si>
    <t xml:space="preserve">Lượt hiển thị</t>
  </si>
  <si>
    <t xml:space="preserve">Lượt click</t>
  </si>
  <si>
    <t xml:space="preserve">Đơn</t>
  </si>
  <si>
    <t xml:space="preserve">Doanh số (VND)</t>
  </si>
  <si>
    <t xml:space="preserve">Chi phí ads (VND)</t>
  </si>
  <si>
    <t xml:space="preserve">CTR</t>
  </si>
  <si>
    <t xml:space="preserve">Tỉ lệ chuyển đổi</t>
  </si>
  <si>
    <t xml:space="preserve">ROAS</t>
  </si>
  <si>
    <t xml:space="preserve">ACOS</t>
  </si>
  <si>
    <t xml:space="preserve">Chẩn đoán</t>
  </si>
  <si>
    <t xml:space="preserve">13/10/2026</t>
  </si>
  <si>
    <t xml:space="preserve">LỊCH TRIỂN KHAI</t>
  </si>
  <si>
    <t xml:space="preserve">Thời gian</t>
  </si>
  <si>
    <t xml:space="preserve">Việc cần làm</t>
  </si>
  <si>
    <t xml:space="preserve">7–10/10</t>
  </si>
  <si>
    <t xml:space="preserve">Dồn lực cho 10.10 bằng các listing hiện có. Chưa lên listing mới (không kịp đăng ký chương trình). Chuẩn bị ảnh bìa, video, mô tả cho A và C.</t>
  </si>
  <si>
    <t xml:space="preserve">11–12/10</t>
  </si>
  <si>
    <t xml:space="preserve">Dọn trùng lặp: sửa tên "Mocha", thống nhất giá combo, ẩn phân loại lăn tóc lẻ ở 2–3 listing combo đầu tiên.</t>
  </si>
  <si>
    <t xml:space="preserve">13–19/10 (Tuần 1)</t>
  </si>
  <si>
    <t xml:space="preserve">Lên listing A và C. Voucher riêng cho sản phẩm mới. Mở Affiliate với hoa hồng cao hơn mức thường. Ads tìm kiếm thủ công ~50.000đ/ngày/listing, chỉ nhắm từ khóa ở sheet "Phan bo tu khoa".</t>
  </si>
  <si>
    <t xml:space="preserve">20–26/10 (Tuần 2)</t>
  </si>
  <si>
    <t xml:space="preserve">Lên listing B và D. Gắn A và C vào Combo khuyến mãi với listing lăn tóc 40100338280 để dẫn traffic.</t>
  </si>
  <si>
    <t xml:space="preserve">Cuối tháng 10</t>
  </si>
  <si>
    <t xml:space="preserve">Đọc sheet "Theo doi 14 ngay". Listing nào có ROAS ≥ 4 thì tăng ngân sách và đăng ký vào 11.11 (theo hạn đăng ký Shopee công bố). Listing yếu thì sửa ảnh bìa, tên, giá trước, chưa xóa.</t>
  </si>
  <si>
    <t xml:space="preserve">11.11 → 12.12</t>
  </si>
  <si>
    <t xml:space="preserve">Dồn ngân sách cho 1–2 listing mới tốt nhất. Lặp lại quy trình với hướng nhân bản tiếp theo.</t>
  </si>
</sst>
</file>

<file path=xl/styles.xml><?xml version="1.0" encoding="utf-8"?>
<styleSheet xmlns="http://schemas.openxmlformats.org/spreadsheetml/2006/main">
  <numFmts count="5">
    <numFmt numFmtId="164" formatCode="General"/>
    <numFmt numFmtId="165" formatCode="#,##0;\(#,##0\);\-"/>
    <numFmt numFmtId="166" formatCode="0.0%"/>
    <numFmt numFmtId="167" formatCode="0.00%"/>
    <numFmt numFmtId="168" formatCode="0.0"/>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11"/>
      <name val="Arial"/>
      <family val="0"/>
      <charset val="1"/>
    </font>
    <font>
      <b val="true"/>
      <sz val="11"/>
      <color rgb="FFFFFFFF"/>
      <name val="Arial"/>
      <family val="0"/>
      <charset val="1"/>
    </font>
    <font>
      <sz val="11"/>
      <name val="Arial"/>
      <family val="0"/>
      <charset val="1"/>
    </font>
    <font>
      <sz val="11"/>
      <color rgb="FF0000FF"/>
      <name val="Arial"/>
      <family val="0"/>
      <charset val="1"/>
    </font>
    <font>
      <sz val="10"/>
      <name val="Arial"/>
      <family val="2"/>
    </font>
  </fonts>
  <fills count="4">
    <fill>
      <patternFill patternType="none"/>
    </fill>
    <fill>
      <patternFill patternType="gray125"/>
    </fill>
    <fill>
      <patternFill patternType="solid">
        <fgColor rgb="FF1F4E78"/>
        <bgColor rgb="FF003366"/>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6" fontId="8"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5" fontId="8" fillId="3"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32"/>
    <col collapsed="false" customWidth="true" hidden="false" outlineLevel="0" max="5" min="4" style="0" width="14"/>
    <col collapsed="false" customWidth="true" hidden="false" outlineLevel="0" max="6" min="6" style="0" width="10"/>
    <col collapsed="false" customWidth="true" hidden="false" outlineLevel="0" max="9" min="7" style="0" width="13"/>
    <col collapsed="false" customWidth="true" hidden="false" outlineLevel="0" max="10" min="10" style="0" width="14"/>
    <col collapsed="false" customWidth="true" hidden="false" outlineLevel="0" max="11" min="11" style="0" width="9"/>
    <col collapsed="false" customWidth="true" hidden="false" outlineLevel="0" max="12" min="12" style="0" width="13"/>
    <col collapsed="false" customWidth="true" hidden="false" outlineLevel="0" max="13" min="13" style="0" width="14"/>
    <col collapsed="false" customWidth="true" hidden="false" outlineLevel="0" max="14" min="14" style="0" width="9"/>
    <col collapsed="false" customWidth="true" hidden="false" outlineLevel="0" max="15" min="15" style="0" width="10"/>
    <col collapsed="false" customWidth="true" hidden="false" outlineLevel="0" max="16" min="16" style="0" width="50"/>
    <col collapsed="false" customWidth="true" hidden="false" outlineLevel="0" max="17" min="17" style="0" width="42"/>
    <col collapsed="false" customWidth="true" hidden="false" outlineLevel="0" max="18" min="18" style="0" width="16"/>
  </cols>
  <sheetData>
    <row r="1" customFormat="false" ht="16.15" hidden="false" customHeight="false" outlineLevel="0" collapsed="false">
      <c r="A1" s="1" t="s">
        <v>0</v>
      </c>
    </row>
    <row r="2" customFormat="false" ht="15" hidden="false" customHeight="false" outlineLevel="0" collapsed="false">
      <c r="A2" s="2" t="s">
        <v>1</v>
      </c>
    </row>
    <row r="4" customFormat="false" ht="4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row>
    <row r="5" customFormat="false" ht="75" hidden="false" customHeight="true" outlineLevel="0" collapsed="false">
      <c r="A5" s="4" t="s">
        <v>20</v>
      </c>
      <c r="B5" s="4" t="s">
        <v>21</v>
      </c>
      <c r="C5" s="4" t="s">
        <v>22</v>
      </c>
      <c r="D5" s="5" t="n">
        <f aca="false">2*200000+191000</f>
        <v>591000</v>
      </c>
      <c r="E5" s="5" t="n">
        <v>519000</v>
      </c>
      <c r="F5" s="6" t="n">
        <f aca="false">1-E5/D5</f>
        <v>0.121827411167513</v>
      </c>
      <c r="G5" s="7" t="n">
        <f aca="false">E5*'Gia dinh'!$B$4</f>
        <v>155700</v>
      </c>
      <c r="H5" s="7" t="n">
        <f aca="false">E5*'Gia dinh'!$B$5</f>
        <v>129750</v>
      </c>
      <c r="I5" s="7" t="n">
        <f aca="false">E5*'Gia dinh'!$B$6</f>
        <v>129750</v>
      </c>
      <c r="J5" s="7" t="n">
        <f aca="false">E5-G5-H5-I5</f>
        <v>103800</v>
      </c>
      <c r="K5" s="6" t="n">
        <f aca="false">IF(E5=0,0,J5/E5)</f>
        <v>0.2</v>
      </c>
      <c r="L5" s="7" t="n">
        <f aca="false">E5*'Gia dinh'!$B$7</f>
        <v>77850</v>
      </c>
      <c r="M5" s="7" t="n">
        <f aca="false">E5-G5-H5-L5</f>
        <v>155700</v>
      </c>
      <c r="N5" s="6" t="n">
        <f aca="false">IF(E5=0,0,M5/E5)</f>
        <v>0.3</v>
      </c>
      <c r="O5" s="6" t="n">
        <f aca="false">1-'Gia dinh'!$B$4-'Gia dinh'!$B$5</f>
        <v>0.45</v>
      </c>
      <c r="P5" s="4" t="s">
        <v>23</v>
      </c>
      <c r="Q5" s="4" t="s">
        <v>24</v>
      </c>
      <c r="R5" s="4" t="s">
        <v>25</v>
      </c>
    </row>
    <row r="6" customFormat="false" ht="75" hidden="false" customHeight="true" outlineLevel="0" collapsed="false">
      <c r="A6" s="4" t="s">
        <v>26</v>
      </c>
      <c r="B6" s="4" t="s">
        <v>27</v>
      </c>
      <c r="C6" s="4" t="s">
        <v>28</v>
      </c>
      <c r="D6" s="5" t="n">
        <f aca="false">2*191000+200000</f>
        <v>582000</v>
      </c>
      <c r="E6" s="5" t="n">
        <v>499000</v>
      </c>
      <c r="F6" s="6" t="n">
        <f aca="false">1-E6/D6</f>
        <v>0.142611683848797</v>
      </c>
      <c r="G6" s="7" t="n">
        <f aca="false">E6*'Gia dinh'!$B$4</f>
        <v>149700</v>
      </c>
      <c r="H6" s="7" t="n">
        <f aca="false">E6*'Gia dinh'!$B$5</f>
        <v>124750</v>
      </c>
      <c r="I6" s="7" t="n">
        <f aca="false">E6*'Gia dinh'!$B$6</f>
        <v>124750</v>
      </c>
      <c r="J6" s="7" t="n">
        <f aca="false">E6-G6-H6-I6</f>
        <v>99800</v>
      </c>
      <c r="K6" s="6" t="n">
        <f aca="false">IF(E6=0,0,J6/E6)</f>
        <v>0.2</v>
      </c>
      <c r="L6" s="7" t="n">
        <f aca="false">E6*'Gia dinh'!$B$7</f>
        <v>74850</v>
      </c>
      <c r="M6" s="7" t="n">
        <f aca="false">E6-G6-H6-L6</f>
        <v>149700</v>
      </c>
      <c r="N6" s="6" t="n">
        <f aca="false">IF(E6=0,0,M6/E6)</f>
        <v>0.3</v>
      </c>
      <c r="O6" s="6" t="n">
        <f aca="false">1-'Gia dinh'!$B$4-'Gia dinh'!$B$5</f>
        <v>0.45</v>
      </c>
      <c r="P6" s="4" t="s">
        <v>29</v>
      </c>
      <c r="Q6" s="4" t="s">
        <v>30</v>
      </c>
      <c r="R6" s="4" t="s">
        <v>31</v>
      </c>
    </row>
    <row r="7" customFormat="false" ht="75" hidden="false" customHeight="true" outlineLevel="0" collapsed="false">
      <c r="A7" s="4" t="s">
        <v>32</v>
      </c>
      <c r="B7" s="4" t="s">
        <v>33</v>
      </c>
      <c r="C7" s="4" t="s">
        <v>34</v>
      </c>
      <c r="D7" s="5" t="n">
        <f aca="false">445000+191000</f>
        <v>636000</v>
      </c>
      <c r="E7" s="5" t="n">
        <v>559000</v>
      </c>
      <c r="F7" s="6" t="n">
        <f aca="false">1-E7/D7</f>
        <v>0.121069182389937</v>
      </c>
      <c r="G7" s="7" t="n">
        <f aca="false">E7*'Gia dinh'!$B$4</f>
        <v>167700</v>
      </c>
      <c r="H7" s="7" t="n">
        <f aca="false">E7*'Gia dinh'!$B$5</f>
        <v>139750</v>
      </c>
      <c r="I7" s="7" t="n">
        <f aca="false">E7*'Gia dinh'!$B$6</f>
        <v>139750</v>
      </c>
      <c r="J7" s="7" t="n">
        <f aca="false">E7-G7-H7-I7</f>
        <v>111800</v>
      </c>
      <c r="K7" s="6" t="n">
        <f aca="false">IF(E7=0,0,J7/E7)</f>
        <v>0.2</v>
      </c>
      <c r="L7" s="7" t="n">
        <f aca="false">E7*'Gia dinh'!$B$7</f>
        <v>83850</v>
      </c>
      <c r="M7" s="7" t="n">
        <f aca="false">E7-G7-H7-L7</f>
        <v>167700</v>
      </c>
      <c r="N7" s="6" t="n">
        <f aca="false">IF(E7=0,0,M7/E7)</f>
        <v>0.3</v>
      </c>
      <c r="O7" s="6" t="n">
        <f aca="false">1-'Gia dinh'!$B$4-'Gia dinh'!$B$5</f>
        <v>0.45</v>
      </c>
      <c r="P7" s="4" t="s">
        <v>35</v>
      </c>
      <c r="Q7" s="4" t="s">
        <v>36</v>
      </c>
      <c r="R7" s="4" t="s">
        <v>25</v>
      </c>
    </row>
    <row r="8" customFormat="false" ht="75" hidden="false" customHeight="true" outlineLevel="0" collapsed="false">
      <c r="A8" s="4" t="s">
        <v>37</v>
      </c>
      <c r="B8" s="4" t="s">
        <v>38</v>
      </c>
      <c r="C8" s="4" t="s">
        <v>39</v>
      </c>
      <c r="D8" s="5" t="n">
        <f aca="false">339000+200000</f>
        <v>539000</v>
      </c>
      <c r="E8" s="5" t="n">
        <v>479000</v>
      </c>
      <c r="F8" s="6" t="n">
        <f aca="false">1-E8/D8</f>
        <v>0.111317254174397</v>
      </c>
      <c r="G8" s="7" t="n">
        <f aca="false">E8*'Gia dinh'!$B$4</f>
        <v>143700</v>
      </c>
      <c r="H8" s="7" t="n">
        <f aca="false">E8*'Gia dinh'!$B$5</f>
        <v>119750</v>
      </c>
      <c r="I8" s="7" t="n">
        <f aca="false">E8*'Gia dinh'!$B$6</f>
        <v>119750</v>
      </c>
      <c r="J8" s="7" t="n">
        <f aca="false">E8-G8-H8-I8</f>
        <v>95800</v>
      </c>
      <c r="K8" s="6" t="n">
        <f aca="false">IF(E8=0,0,J8/E8)</f>
        <v>0.2</v>
      </c>
      <c r="L8" s="7" t="n">
        <f aca="false">E8*'Gia dinh'!$B$7</f>
        <v>71850</v>
      </c>
      <c r="M8" s="7" t="n">
        <f aca="false">E8-G8-H8-L8</f>
        <v>143700</v>
      </c>
      <c r="N8" s="6" t="n">
        <f aca="false">IF(E8=0,0,M8/E8)</f>
        <v>0.3</v>
      </c>
      <c r="O8" s="6" t="n">
        <f aca="false">1-'Gia dinh'!$B$4-'Gia dinh'!$B$5</f>
        <v>0.45</v>
      </c>
      <c r="P8" s="4" t="s">
        <v>40</v>
      </c>
      <c r="Q8" s="4" t="s">
        <v>41</v>
      </c>
      <c r="R8" s="4"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2"/>
    <col collapsed="false" customWidth="true" hidden="false" outlineLevel="0" max="3" min="3" style="0" width="90"/>
  </cols>
  <sheetData>
    <row r="1" customFormat="false" ht="16.15" hidden="false" customHeight="false" outlineLevel="0" collapsed="false">
      <c r="A1" s="1" t="s">
        <v>42</v>
      </c>
    </row>
    <row r="3" customFormat="false" ht="15" hidden="false" customHeight="false" outlineLevel="0" collapsed="false">
      <c r="A3" s="3" t="s">
        <v>43</v>
      </c>
      <c r="B3" s="3" t="s">
        <v>44</v>
      </c>
      <c r="C3" s="3" t="s">
        <v>45</v>
      </c>
    </row>
    <row r="4" customFormat="false" ht="15" hidden="false" customHeight="false" outlineLevel="0" collapsed="false">
      <c r="A4" s="4" t="s">
        <v>46</v>
      </c>
      <c r="B4" s="8" t="n">
        <v>0.3</v>
      </c>
      <c r="C4" s="4" t="s">
        <v>47</v>
      </c>
    </row>
    <row r="5" customFormat="false" ht="26.85" hidden="false" customHeight="false" outlineLevel="0" collapsed="false">
      <c r="A5" s="4" t="s">
        <v>48</v>
      </c>
      <c r="B5" s="8" t="n">
        <v>0.25</v>
      </c>
      <c r="C5" s="4" t="s">
        <v>49</v>
      </c>
    </row>
    <row r="6" customFormat="false" ht="15" hidden="false" customHeight="false" outlineLevel="0" collapsed="false">
      <c r="A6" s="4" t="s">
        <v>50</v>
      </c>
      <c r="B6" s="8" t="n">
        <v>0.25</v>
      </c>
      <c r="C6" s="4" t="s">
        <v>51</v>
      </c>
    </row>
    <row r="7" customFormat="false" ht="15" hidden="false" customHeight="false" outlineLevel="0" collapsed="false">
      <c r="A7" s="4" t="s">
        <v>52</v>
      </c>
      <c r="B7" s="8" t="n">
        <v>0.15</v>
      </c>
      <c r="C7" s="4" t="s">
        <v>53</v>
      </c>
    </row>
    <row r="8" customFormat="false" ht="15" hidden="false" customHeight="false" outlineLevel="0" collapsed="false">
      <c r="A8" s="4" t="s">
        <v>54</v>
      </c>
      <c r="B8" s="8" t="n">
        <v>0.12</v>
      </c>
      <c r="C8" s="4" t="s">
        <v>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8"/>
    <col collapsed="false" customWidth="true" hidden="false" outlineLevel="0" max="3" min="3" style="0" width="40"/>
    <col collapsed="false" customWidth="true" hidden="false" outlineLevel="0" max="4" min="4" style="0" width="32"/>
    <col collapsed="false" customWidth="true" hidden="false" outlineLevel="0" max="5" min="5" style="0" width="40"/>
    <col collapsed="false" customWidth="true" hidden="false" outlineLevel="0" max="6" min="6" style="0" width="32"/>
  </cols>
  <sheetData>
    <row r="1" customFormat="false" ht="16.15" hidden="false" customHeight="false" outlineLevel="0" collapsed="false">
      <c r="A1" s="1" t="s">
        <v>56</v>
      </c>
    </row>
    <row r="2" customFormat="false" ht="15" hidden="false" customHeight="false" outlineLevel="0" collapsed="false">
      <c r="A2" s="2" t="s">
        <v>57</v>
      </c>
    </row>
    <row r="4" customFormat="false" ht="26.85" hidden="false" customHeight="false" outlineLevel="0" collapsed="false">
      <c r="A4" s="3" t="s">
        <v>58</v>
      </c>
      <c r="B4" s="3" t="s">
        <v>59</v>
      </c>
      <c r="C4" s="3" t="s">
        <v>60</v>
      </c>
      <c r="D4" s="3" t="s">
        <v>61</v>
      </c>
      <c r="E4" s="3" t="s">
        <v>62</v>
      </c>
      <c r="F4" s="3" t="s">
        <v>63</v>
      </c>
    </row>
    <row r="5" customFormat="false" ht="26.85" hidden="false" customHeight="false" outlineLevel="0" collapsed="false">
      <c r="A5" s="4" t="s">
        <v>64</v>
      </c>
      <c r="B5" s="4" t="s">
        <v>65</v>
      </c>
      <c r="C5" s="4" t="s">
        <v>66</v>
      </c>
      <c r="D5" s="4" t="s">
        <v>67</v>
      </c>
      <c r="E5" s="4" t="s">
        <v>68</v>
      </c>
      <c r="F5" s="4"/>
    </row>
    <row r="6" customFormat="false" ht="26.85" hidden="false" customHeight="false" outlineLevel="0" collapsed="false">
      <c r="A6" s="4" t="s">
        <v>69</v>
      </c>
      <c r="B6" s="4" t="s">
        <v>70</v>
      </c>
      <c r="C6" s="4" t="s">
        <v>71</v>
      </c>
      <c r="D6" s="4" t="s">
        <v>72</v>
      </c>
      <c r="E6" s="4" t="s">
        <v>73</v>
      </c>
      <c r="F6" s="4" t="s">
        <v>74</v>
      </c>
    </row>
    <row r="7" customFormat="false" ht="26.85" hidden="false" customHeight="false" outlineLevel="0" collapsed="false">
      <c r="A7" s="4" t="s">
        <v>75</v>
      </c>
      <c r="B7" s="4" t="s">
        <v>76</v>
      </c>
      <c r="C7" s="4" t="s">
        <v>77</v>
      </c>
      <c r="D7" s="4" t="s">
        <v>78</v>
      </c>
      <c r="E7" s="4" t="s">
        <v>79</v>
      </c>
      <c r="F7" s="4" t="s">
        <v>80</v>
      </c>
    </row>
    <row r="8" customFormat="false" ht="26.85" hidden="false" customHeight="false" outlineLevel="0" collapsed="false">
      <c r="A8" s="4" t="s">
        <v>81</v>
      </c>
      <c r="B8" s="4" t="s">
        <v>82</v>
      </c>
      <c r="C8" s="4" t="s">
        <v>83</v>
      </c>
      <c r="D8" s="4" t="s">
        <v>84</v>
      </c>
      <c r="E8" s="4" t="s">
        <v>85</v>
      </c>
      <c r="F8" s="4" t="s">
        <v>86</v>
      </c>
    </row>
    <row r="9" customFormat="false" ht="26.85" hidden="false" customHeight="false" outlineLevel="0" collapsed="false">
      <c r="A9" s="4" t="s">
        <v>87</v>
      </c>
      <c r="B9" s="4" t="s">
        <v>88</v>
      </c>
      <c r="C9" s="4" t="s">
        <v>89</v>
      </c>
      <c r="D9" s="4" t="s">
        <v>90</v>
      </c>
      <c r="E9" s="4" t="s">
        <v>91</v>
      </c>
      <c r="F9" s="4" t="s">
        <v>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40"/>
    <col collapsed="false" customWidth="true" hidden="false" outlineLevel="0" max="3" min="3" style="0" width="55"/>
    <col collapsed="false" customWidth="true" hidden="false" outlineLevel="0" max="4" min="4" style="0" width="60"/>
  </cols>
  <sheetData>
    <row r="1" customFormat="false" ht="16.15" hidden="false" customHeight="false" outlineLevel="0" collapsed="false">
      <c r="A1" s="1" t="s">
        <v>93</v>
      </c>
    </row>
    <row r="3" customFormat="false" ht="15" hidden="false" customHeight="false" outlineLevel="0" collapsed="false">
      <c r="A3" s="3" t="s">
        <v>94</v>
      </c>
      <c r="B3" s="3" t="s">
        <v>95</v>
      </c>
      <c r="C3" s="3" t="s">
        <v>96</v>
      </c>
      <c r="D3" s="3" t="s">
        <v>97</v>
      </c>
    </row>
    <row r="4" customFormat="false" ht="64.9" hidden="false" customHeight="false" outlineLevel="0" collapsed="false">
      <c r="A4" s="4" t="s">
        <v>98</v>
      </c>
      <c r="B4" s="4" t="s">
        <v>99</v>
      </c>
      <c r="C4" s="4" t="s">
        <v>100</v>
      </c>
      <c r="D4" s="4" t="s">
        <v>101</v>
      </c>
    </row>
    <row r="5" customFormat="false" ht="39.55" hidden="false" customHeight="false" outlineLevel="0" collapsed="false">
      <c r="A5" s="4" t="s">
        <v>102</v>
      </c>
      <c r="B5" s="4" t="s">
        <v>103</v>
      </c>
      <c r="C5" s="4" t="s">
        <v>104</v>
      </c>
      <c r="D5" s="4" t="s">
        <v>105</v>
      </c>
    </row>
    <row r="6" customFormat="false" ht="26.85" hidden="false" customHeight="false" outlineLevel="0" collapsed="false">
      <c r="A6" s="4" t="s">
        <v>106</v>
      </c>
      <c r="B6" s="4" t="s">
        <v>107</v>
      </c>
      <c r="C6" s="4" t="s">
        <v>108</v>
      </c>
      <c r="D6" s="4" t="s">
        <v>109</v>
      </c>
    </row>
    <row r="7" customFormat="false" ht="26.85" hidden="false" customHeight="false" outlineLevel="0" collapsed="false">
      <c r="A7" s="4" t="s">
        <v>110</v>
      </c>
      <c r="B7" s="4" t="s">
        <v>111</v>
      </c>
      <c r="C7" s="4" t="s">
        <v>112</v>
      </c>
      <c r="D7" s="4" t="s">
        <v>113</v>
      </c>
    </row>
    <row r="8" customFormat="false" ht="39.55" hidden="false" customHeight="false" outlineLevel="0" collapsed="false">
      <c r="A8" s="4" t="s">
        <v>114</v>
      </c>
      <c r="B8" s="4" t="s">
        <v>115</v>
      </c>
      <c r="C8" s="4" t="s">
        <v>116</v>
      </c>
      <c r="D8" s="4" t="s">
        <v>117</v>
      </c>
    </row>
    <row r="9" customFormat="false" ht="26.85" hidden="false" customHeight="false" outlineLevel="0" collapsed="false">
      <c r="A9" s="4" t="s">
        <v>118</v>
      </c>
      <c r="B9" s="4" t="s">
        <v>119</v>
      </c>
      <c r="C9" s="4" t="s">
        <v>120</v>
      </c>
      <c r="D9" s="4" t="s">
        <v>121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9"/>
    <col collapsed="false" customWidth="true" hidden="false" outlineLevel="0" max="3" min="3" style="0" width="12"/>
    <col collapsed="false" customWidth="true" hidden="false" outlineLevel="0" max="4" min="4" style="0" width="10"/>
    <col collapsed="false" customWidth="true" hidden="false" outlineLevel="0" max="5" min="5" style="0" width="8"/>
    <col collapsed="false" customWidth="true" hidden="false" outlineLevel="0" max="7" min="6" style="0" width="14"/>
    <col collapsed="false" customWidth="true" hidden="false" outlineLevel="0" max="8" min="8" style="0" width="9"/>
    <col collapsed="false" customWidth="true" hidden="false" outlineLevel="0" max="9" min="9" style="0" width="12"/>
    <col collapsed="false" customWidth="true" hidden="false" outlineLevel="0" max="10" min="10" style="0" width="8"/>
    <col collapsed="false" customWidth="true" hidden="false" outlineLevel="0" max="11" min="11" style="0" width="9"/>
    <col collapsed="false" customWidth="true" hidden="false" outlineLevel="0" max="12" min="12" style="0" width="42"/>
  </cols>
  <sheetData>
    <row r="1" customFormat="false" ht="16.15" hidden="false" customHeight="false" outlineLevel="0" collapsed="false">
      <c r="A1" s="1" t="s">
        <v>122</v>
      </c>
    </row>
    <row r="2" customFormat="false" ht="15" hidden="false" customHeight="false" outlineLevel="0" collapsed="false">
      <c r="A2" s="2" t="s">
        <v>123</v>
      </c>
    </row>
    <row r="4" customFormat="false" ht="26.85" hidden="false" customHeight="false" outlineLevel="0" collapsed="false">
      <c r="A4" s="3" t="s">
        <v>124</v>
      </c>
      <c r="B4" s="3" t="s">
        <v>58</v>
      </c>
      <c r="C4" s="3" t="s">
        <v>125</v>
      </c>
      <c r="D4" s="3" t="s">
        <v>126</v>
      </c>
      <c r="E4" s="3" t="s">
        <v>127</v>
      </c>
      <c r="F4" s="3" t="s">
        <v>128</v>
      </c>
      <c r="G4" s="3" t="s">
        <v>129</v>
      </c>
      <c r="H4" s="3" t="s">
        <v>130</v>
      </c>
      <c r="I4" s="3" t="s">
        <v>131</v>
      </c>
      <c r="J4" s="3" t="s">
        <v>132</v>
      </c>
      <c r="K4" s="3" t="s">
        <v>133</v>
      </c>
      <c r="L4" s="3" t="s">
        <v>134</v>
      </c>
    </row>
    <row r="5" customFormat="false" ht="15" hidden="false" customHeight="false" outlineLevel="0" collapsed="false">
      <c r="A5" s="9" t="s">
        <v>135</v>
      </c>
      <c r="B5" s="9" t="s">
        <v>20</v>
      </c>
      <c r="C5" s="9" t="n">
        <v>1200</v>
      </c>
      <c r="D5" s="9" t="n">
        <v>30</v>
      </c>
      <c r="E5" s="9" t="n">
        <v>3</v>
      </c>
      <c r="F5" s="10" t="n">
        <v>1557000</v>
      </c>
      <c r="G5" s="10" t="n">
        <v>220000</v>
      </c>
      <c r="H5" s="11" t="n">
        <f aca="false">IF(C5&gt;0,D5/C5,"")</f>
        <v>0.025</v>
      </c>
      <c r="I5" s="6" t="n">
        <f aca="false">IF(D5&gt;0,E5/D5,"")</f>
        <v>0.1</v>
      </c>
      <c r="J5" s="12" t="n">
        <f aca="false">IF(G5&gt;0,F5/G5,"")</f>
        <v>7.07727272727273</v>
      </c>
      <c r="K5" s="6" t="n">
        <f aca="false">IF(F5&gt;0,G5/F5,"")</f>
        <v>0.141297366730893</v>
      </c>
      <c r="L5" s="4" t="str">
        <f aca="false">IF(C5="","",IF(C5&lt;200,"Ít hiển thị: xem lại từ khóa trong tên",IF(H5&lt;0.015,"CTR thấp: đổi ảnh bìa",IF(I5&lt;0.05,"Click nhưng ít đơn: xem lại giá, video, đánh giá",IF(AND(K5&lt;&gt;"",K5&gt;0.25),"ACOS cao: giảm giá thầu","Ổn: giữ và tăng dần ngân sách")))))</f>
        <v>Ổn: giữ và tăng dần ngân sách</v>
      </c>
    </row>
    <row r="6" customFormat="false" ht="15" hidden="false" customHeight="false" outlineLevel="0" collapsed="false">
      <c r="A6" s="9"/>
      <c r="B6" s="9"/>
      <c r="C6" s="9"/>
      <c r="D6" s="9"/>
      <c r="E6" s="9"/>
      <c r="F6" s="10"/>
      <c r="G6" s="10"/>
      <c r="H6" s="11" t="str">
        <f aca="false">IF(C6&gt;0,D6/C6,"")</f>
        <v/>
      </c>
      <c r="I6" s="6" t="str">
        <f aca="false">IF(D6&gt;0,E6/D6,"")</f>
        <v/>
      </c>
      <c r="J6" s="12" t="str">
        <f aca="false">IF(G6&gt;0,F6/G6,"")</f>
        <v/>
      </c>
      <c r="K6" s="6" t="str">
        <f aca="false">IF(F6&gt;0,G6/F6,"")</f>
        <v/>
      </c>
      <c r="L6" s="4" t="str">
        <f aca="false">IF(C6="","",IF(C6&lt;200,"Ít hiển thị: xem lại từ khóa trong tên",IF(H6&lt;0.015,"CTR thấp: đổi ảnh bìa",IF(I6&lt;0.05,"Click nhưng ít đơn: xem lại giá, video, đánh giá",IF(AND(K6&lt;&gt;"",K6&gt;0.25),"ACOS cao: giảm giá thầu","Ổn: giữ và tăng dần ngân sách")))))</f>
        <v/>
      </c>
    </row>
    <row r="7" customFormat="false" ht="15" hidden="false" customHeight="false" outlineLevel="0" collapsed="false">
      <c r="A7" s="9"/>
      <c r="B7" s="9"/>
      <c r="C7" s="9"/>
      <c r="D7" s="9"/>
      <c r="E7" s="9"/>
      <c r="F7" s="10"/>
      <c r="G7" s="10"/>
      <c r="H7" s="11" t="str">
        <f aca="false">IF(C7&gt;0,D7/C7,"")</f>
        <v/>
      </c>
      <c r="I7" s="6" t="str">
        <f aca="false">IF(D7&gt;0,E7/D7,"")</f>
        <v/>
      </c>
      <c r="J7" s="12" t="str">
        <f aca="false">IF(G7&gt;0,F7/G7,"")</f>
        <v/>
      </c>
      <c r="K7" s="6" t="str">
        <f aca="false">IF(F7&gt;0,G7/F7,"")</f>
        <v/>
      </c>
      <c r="L7" s="4" t="str">
        <f aca="false">IF(C7="","",IF(C7&lt;200,"Ít hiển thị: xem lại từ khóa trong tên",IF(H7&lt;0.015,"CTR thấp: đổi ảnh bìa",IF(I7&lt;0.05,"Click nhưng ít đơn: xem lại giá, video, đánh giá",IF(AND(K7&lt;&gt;"",K7&gt;0.25),"ACOS cao: giảm giá thầu","Ổn: giữ và tăng dần ngân sách")))))</f>
        <v/>
      </c>
    </row>
    <row r="8" customFormat="false" ht="15" hidden="false" customHeight="false" outlineLevel="0" collapsed="false">
      <c r="A8" s="9"/>
      <c r="B8" s="9"/>
      <c r="C8" s="9"/>
      <c r="D8" s="9"/>
      <c r="E8" s="9"/>
      <c r="F8" s="10"/>
      <c r="G8" s="10"/>
      <c r="H8" s="11" t="str">
        <f aca="false">IF(C8&gt;0,D8/C8,"")</f>
        <v/>
      </c>
      <c r="I8" s="6" t="str">
        <f aca="false">IF(D8&gt;0,E8/D8,"")</f>
        <v/>
      </c>
      <c r="J8" s="12" t="str">
        <f aca="false">IF(G8&gt;0,F8/G8,"")</f>
        <v/>
      </c>
      <c r="K8" s="6" t="str">
        <f aca="false">IF(F8&gt;0,G8/F8,"")</f>
        <v/>
      </c>
      <c r="L8" s="4" t="str">
        <f aca="false">IF(C8="","",IF(C8&lt;200,"Ít hiển thị: xem lại từ khóa trong tên",IF(H8&lt;0.015,"CTR thấp: đổi ảnh bìa",IF(I8&lt;0.05,"Click nhưng ít đơn: xem lại giá, video, đánh giá",IF(AND(K8&lt;&gt;"",K8&gt;0.25),"ACOS cao: giảm giá thầu","Ổn: giữ và tăng dần ngân sách")))))</f>
        <v/>
      </c>
    </row>
    <row r="9" customFormat="false" ht="15" hidden="false" customHeight="false" outlineLevel="0" collapsed="false">
      <c r="A9" s="9"/>
      <c r="B9" s="9"/>
      <c r="C9" s="9"/>
      <c r="D9" s="9"/>
      <c r="E9" s="9"/>
      <c r="F9" s="10"/>
      <c r="G9" s="10"/>
      <c r="H9" s="11" t="str">
        <f aca="false">IF(C9&gt;0,D9/C9,"")</f>
        <v/>
      </c>
      <c r="I9" s="6" t="str">
        <f aca="false">IF(D9&gt;0,E9/D9,"")</f>
        <v/>
      </c>
      <c r="J9" s="12" t="str">
        <f aca="false">IF(G9&gt;0,F9/G9,"")</f>
        <v/>
      </c>
      <c r="K9" s="6" t="str">
        <f aca="false">IF(F9&gt;0,G9/F9,"")</f>
        <v/>
      </c>
      <c r="L9" s="4" t="str">
        <f aca="false">IF(C9="","",IF(C9&lt;200,"Ít hiển thị: xem lại từ khóa trong tên",IF(H9&lt;0.015,"CTR thấp: đổi ảnh bìa",IF(I9&lt;0.05,"Click nhưng ít đơn: xem lại giá, video, đánh giá",IF(AND(K9&lt;&gt;"",K9&gt;0.25),"ACOS cao: giảm giá thầu","Ổn: giữ và tăng dần ngân sách")))))</f>
        <v/>
      </c>
    </row>
    <row r="10" customFormat="false" ht="15" hidden="false" customHeight="false" outlineLevel="0" collapsed="false">
      <c r="A10" s="9"/>
      <c r="B10" s="9"/>
      <c r="C10" s="9"/>
      <c r="D10" s="9"/>
      <c r="E10" s="9"/>
      <c r="F10" s="10"/>
      <c r="G10" s="10"/>
      <c r="H10" s="11" t="str">
        <f aca="false">IF(C10&gt;0,D10/C10,"")</f>
        <v/>
      </c>
      <c r="I10" s="6" t="str">
        <f aca="false">IF(D10&gt;0,E10/D10,"")</f>
        <v/>
      </c>
      <c r="J10" s="12" t="str">
        <f aca="false">IF(G10&gt;0,F10/G10,"")</f>
        <v/>
      </c>
      <c r="K10" s="6" t="str">
        <f aca="false">IF(F10&gt;0,G10/F10,"")</f>
        <v/>
      </c>
      <c r="L10" s="4" t="str">
        <f aca="false">IF(C10="","",IF(C10&lt;200,"Ít hiển thị: xem lại từ khóa trong tên",IF(H10&lt;0.015,"CTR thấp: đổi ảnh bìa",IF(I10&lt;0.05,"Click nhưng ít đơn: xem lại giá, video, đánh giá",IF(AND(K10&lt;&gt;"",K10&gt;0.25),"ACOS cao: giảm giá thầu","Ổn: giữ và tăng dần ngân sách")))))</f>
        <v/>
      </c>
    </row>
    <row r="11" customFormat="false" ht="15" hidden="false" customHeight="false" outlineLevel="0" collapsed="false">
      <c r="A11" s="9"/>
      <c r="B11" s="9"/>
      <c r="C11" s="9"/>
      <c r="D11" s="9"/>
      <c r="E11" s="9"/>
      <c r="F11" s="10"/>
      <c r="G11" s="10"/>
      <c r="H11" s="11" t="str">
        <f aca="false">IF(C11&gt;0,D11/C11,"")</f>
        <v/>
      </c>
      <c r="I11" s="6" t="str">
        <f aca="false">IF(D11&gt;0,E11/D11,"")</f>
        <v/>
      </c>
      <c r="J11" s="12" t="str">
        <f aca="false">IF(G11&gt;0,F11/G11,"")</f>
        <v/>
      </c>
      <c r="K11" s="6" t="str">
        <f aca="false">IF(F11&gt;0,G11/F11,"")</f>
        <v/>
      </c>
      <c r="L11" s="4" t="str">
        <f aca="false">IF(C11="","",IF(C11&lt;200,"Ít hiển thị: xem lại từ khóa trong tên",IF(H11&lt;0.015,"CTR thấp: đổi ảnh bìa",IF(I11&lt;0.05,"Click nhưng ít đơn: xem lại giá, video, đánh giá",IF(AND(K11&lt;&gt;"",K11&gt;0.25),"ACOS cao: giảm giá thầu","Ổn: giữ và tăng dần ngân sách")))))</f>
        <v/>
      </c>
    </row>
    <row r="12" customFormat="false" ht="15" hidden="false" customHeight="false" outlineLevel="0" collapsed="false">
      <c r="A12" s="9"/>
      <c r="B12" s="9"/>
      <c r="C12" s="9"/>
      <c r="D12" s="9"/>
      <c r="E12" s="9"/>
      <c r="F12" s="10"/>
      <c r="G12" s="10"/>
      <c r="H12" s="11" t="str">
        <f aca="false">IF(C12&gt;0,D12/C12,"")</f>
        <v/>
      </c>
      <c r="I12" s="6" t="str">
        <f aca="false">IF(D12&gt;0,E12/D12,"")</f>
        <v/>
      </c>
      <c r="J12" s="12" t="str">
        <f aca="false">IF(G12&gt;0,F12/G12,"")</f>
        <v/>
      </c>
      <c r="K12" s="6" t="str">
        <f aca="false">IF(F12&gt;0,G12/F12,"")</f>
        <v/>
      </c>
      <c r="L12" s="4" t="str">
        <f aca="false">IF(C12="","",IF(C12&lt;200,"Ít hiển thị: xem lại từ khóa trong tên",IF(H12&lt;0.015,"CTR thấp: đổi ảnh bìa",IF(I12&lt;0.05,"Click nhưng ít đơn: xem lại giá, video, đánh giá",IF(AND(K12&lt;&gt;"",K12&gt;0.25),"ACOS cao: giảm giá thầu","Ổn: giữ và tăng dần ngân sách")))))</f>
        <v/>
      </c>
    </row>
    <row r="13" customFormat="false" ht="15" hidden="false" customHeight="false" outlineLevel="0" collapsed="false">
      <c r="A13" s="9"/>
      <c r="B13" s="9"/>
      <c r="C13" s="9"/>
      <c r="D13" s="9"/>
      <c r="E13" s="9"/>
      <c r="F13" s="10"/>
      <c r="G13" s="10"/>
      <c r="H13" s="11" t="str">
        <f aca="false">IF(C13&gt;0,D13/C13,"")</f>
        <v/>
      </c>
      <c r="I13" s="6" t="str">
        <f aca="false">IF(D13&gt;0,E13/D13,"")</f>
        <v/>
      </c>
      <c r="J13" s="12" t="str">
        <f aca="false">IF(G13&gt;0,F13/G13,"")</f>
        <v/>
      </c>
      <c r="K13" s="6" t="str">
        <f aca="false">IF(F13&gt;0,G13/F13,"")</f>
        <v/>
      </c>
      <c r="L13" s="4" t="str">
        <f aca="false">IF(C13="","",IF(C13&lt;200,"Ít hiển thị: xem lại từ khóa trong tên",IF(H13&lt;0.015,"CTR thấp: đổi ảnh bìa",IF(I13&lt;0.05,"Click nhưng ít đơn: xem lại giá, video, đánh giá",IF(AND(K13&lt;&gt;"",K13&gt;0.25),"ACOS cao: giảm giá thầu","Ổn: giữ và tăng dần ngân sách")))))</f>
        <v/>
      </c>
    </row>
    <row r="14" customFormat="false" ht="15" hidden="false" customHeight="false" outlineLevel="0" collapsed="false">
      <c r="A14" s="9"/>
      <c r="B14" s="9"/>
      <c r="C14" s="9"/>
      <c r="D14" s="9"/>
      <c r="E14" s="9"/>
      <c r="F14" s="10"/>
      <c r="G14" s="10"/>
      <c r="H14" s="11" t="str">
        <f aca="false">IF(C14&gt;0,D14/C14,"")</f>
        <v/>
      </c>
      <c r="I14" s="6" t="str">
        <f aca="false">IF(D14&gt;0,E14/D14,"")</f>
        <v/>
      </c>
      <c r="J14" s="12" t="str">
        <f aca="false">IF(G14&gt;0,F14/G14,"")</f>
        <v/>
      </c>
      <c r="K14" s="6" t="str">
        <f aca="false">IF(F14&gt;0,G14/F14,"")</f>
        <v/>
      </c>
      <c r="L14" s="4" t="str">
        <f aca="false">IF(C14="","",IF(C14&lt;200,"Ít hiển thị: xem lại từ khóa trong tên",IF(H14&lt;0.015,"CTR thấp: đổi ảnh bìa",IF(I14&lt;0.05,"Click nhưng ít đơn: xem lại giá, video, đánh giá",IF(AND(K14&lt;&gt;"",K14&gt;0.25),"ACOS cao: giảm giá thầu","Ổn: giữ và tăng dần ngân sách")))))</f>
        <v/>
      </c>
    </row>
    <row r="15" customFormat="false" ht="15" hidden="false" customHeight="false" outlineLevel="0" collapsed="false">
      <c r="A15" s="9"/>
      <c r="B15" s="9"/>
      <c r="C15" s="9"/>
      <c r="D15" s="9"/>
      <c r="E15" s="9"/>
      <c r="F15" s="10"/>
      <c r="G15" s="10"/>
      <c r="H15" s="11" t="str">
        <f aca="false">IF(C15&gt;0,D15/C15,"")</f>
        <v/>
      </c>
      <c r="I15" s="6" t="str">
        <f aca="false">IF(D15&gt;0,E15/D15,"")</f>
        <v/>
      </c>
      <c r="J15" s="12" t="str">
        <f aca="false">IF(G15&gt;0,F15/G15,"")</f>
        <v/>
      </c>
      <c r="K15" s="6" t="str">
        <f aca="false">IF(F15&gt;0,G15/F15,"")</f>
        <v/>
      </c>
      <c r="L15" s="4" t="str">
        <f aca="false">IF(C15="","",IF(C15&lt;200,"Ít hiển thị: xem lại từ khóa trong tên",IF(H15&lt;0.015,"CTR thấp: đổi ảnh bìa",IF(I15&lt;0.05,"Click nhưng ít đơn: xem lại giá, video, đánh giá",IF(AND(K15&lt;&gt;"",K15&gt;0.25),"ACOS cao: giảm giá thầu","Ổn: giữ và tăng dần ngân sách")))))</f>
        <v/>
      </c>
    </row>
    <row r="16" customFormat="false" ht="15" hidden="false" customHeight="false" outlineLevel="0" collapsed="false">
      <c r="A16" s="9"/>
      <c r="B16" s="9"/>
      <c r="C16" s="9"/>
      <c r="D16" s="9"/>
      <c r="E16" s="9"/>
      <c r="F16" s="10"/>
      <c r="G16" s="10"/>
      <c r="H16" s="11" t="str">
        <f aca="false">IF(C16&gt;0,D16/C16,"")</f>
        <v/>
      </c>
      <c r="I16" s="6" t="str">
        <f aca="false">IF(D16&gt;0,E16/D16,"")</f>
        <v/>
      </c>
      <c r="J16" s="12" t="str">
        <f aca="false">IF(G16&gt;0,F16/G16,"")</f>
        <v/>
      </c>
      <c r="K16" s="6" t="str">
        <f aca="false">IF(F16&gt;0,G16/F16,"")</f>
        <v/>
      </c>
      <c r="L16" s="4" t="str">
        <f aca="false">IF(C16="","",IF(C16&lt;200,"Ít hiển thị: xem lại từ khóa trong tên",IF(H16&lt;0.015,"CTR thấp: đổi ảnh bìa",IF(I16&lt;0.05,"Click nhưng ít đơn: xem lại giá, video, đánh giá",IF(AND(K16&lt;&gt;"",K16&gt;0.25),"ACOS cao: giảm giá thầu","Ổn: giữ và tăng dần ngân sách")))))</f>
        <v/>
      </c>
    </row>
    <row r="17" customFormat="false" ht="15" hidden="false" customHeight="false" outlineLevel="0" collapsed="false">
      <c r="A17" s="9"/>
      <c r="B17" s="9"/>
      <c r="C17" s="9"/>
      <c r="D17" s="9"/>
      <c r="E17" s="9"/>
      <c r="F17" s="10"/>
      <c r="G17" s="10"/>
      <c r="H17" s="11" t="str">
        <f aca="false">IF(C17&gt;0,D17/C17,"")</f>
        <v/>
      </c>
      <c r="I17" s="6" t="str">
        <f aca="false">IF(D17&gt;0,E17/D17,"")</f>
        <v/>
      </c>
      <c r="J17" s="12" t="str">
        <f aca="false">IF(G17&gt;0,F17/G17,"")</f>
        <v/>
      </c>
      <c r="K17" s="6" t="str">
        <f aca="false">IF(F17&gt;0,G17/F17,"")</f>
        <v/>
      </c>
      <c r="L17" s="4" t="str">
        <f aca="false">IF(C17="","",IF(C17&lt;200,"Ít hiển thị: xem lại từ khóa trong tên",IF(H17&lt;0.015,"CTR thấp: đổi ảnh bìa",IF(I17&lt;0.05,"Click nhưng ít đơn: xem lại giá, video, đánh giá",IF(AND(K17&lt;&gt;"",K17&gt;0.25),"ACOS cao: giảm giá thầu","Ổn: giữ và tăng dần ngân sách")))))</f>
        <v/>
      </c>
    </row>
    <row r="18" customFormat="false" ht="15" hidden="false" customHeight="false" outlineLevel="0" collapsed="false">
      <c r="A18" s="9"/>
      <c r="B18" s="9"/>
      <c r="C18" s="9"/>
      <c r="D18" s="9"/>
      <c r="E18" s="9"/>
      <c r="F18" s="10"/>
      <c r="G18" s="10"/>
      <c r="H18" s="11" t="str">
        <f aca="false">IF(C18&gt;0,D18/C18,"")</f>
        <v/>
      </c>
      <c r="I18" s="6" t="str">
        <f aca="false">IF(D18&gt;0,E18/D18,"")</f>
        <v/>
      </c>
      <c r="J18" s="12" t="str">
        <f aca="false">IF(G18&gt;0,F18/G18,"")</f>
        <v/>
      </c>
      <c r="K18" s="6" t="str">
        <f aca="false">IF(F18&gt;0,G18/F18,"")</f>
        <v/>
      </c>
      <c r="L18" s="4" t="str">
        <f aca="false">IF(C18="","",IF(C18&lt;200,"Ít hiển thị: xem lại từ khóa trong tên",IF(H18&lt;0.015,"CTR thấp: đổi ảnh bìa",IF(I18&lt;0.05,"Click nhưng ít đơn: xem lại giá, video, đánh giá",IF(AND(K18&lt;&gt;"",K18&gt;0.25),"ACOS cao: giảm giá thầu","Ổn: giữ và tăng dần ngân sách")))))</f>
        <v/>
      </c>
    </row>
    <row r="19" customFormat="false" ht="15" hidden="false" customHeight="false" outlineLevel="0" collapsed="false">
      <c r="A19" s="9"/>
      <c r="B19" s="9"/>
      <c r="C19" s="9"/>
      <c r="D19" s="9"/>
      <c r="E19" s="9"/>
      <c r="F19" s="10"/>
      <c r="G19" s="10"/>
      <c r="H19" s="11" t="str">
        <f aca="false">IF(C19&gt;0,D19/C19,"")</f>
        <v/>
      </c>
      <c r="I19" s="6" t="str">
        <f aca="false">IF(D19&gt;0,E19/D19,"")</f>
        <v/>
      </c>
      <c r="J19" s="12" t="str">
        <f aca="false">IF(G19&gt;0,F19/G19,"")</f>
        <v/>
      </c>
      <c r="K19" s="6" t="str">
        <f aca="false">IF(F19&gt;0,G19/F19,"")</f>
        <v/>
      </c>
      <c r="L19" s="4" t="str">
        <f aca="false">IF(C19="","",IF(C19&lt;200,"Ít hiển thị: xem lại từ khóa trong tên",IF(H19&lt;0.015,"CTR thấp: đổi ảnh bìa",IF(I19&lt;0.05,"Click nhưng ít đơn: xem lại giá, video, đánh giá",IF(AND(K19&lt;&gt;"",K19&gt;0.25),"ACOS cao: giảm giá thầu","Ổn: giữ và tăng dần ngân sách")))))</f>
        <v/>
      </c>
    </row>
    <row r="20" customFormat="false" ht="15" hidden="false" customHeight="false" outlineLevel="0" collapsed="false">
      <c r="A20" s="9"/>
      <c r="B20" s="9"/>
      <c r="C20" s="9"/>
      <c r="D20" s="9"/>
      <c r="E20" s="9"/>
      <c r="F20" s="10"/>
      <c r="G20" s="10"/>
      <c r="H20" s="11" t="str">
        <f aca="false">IF(C20&gt;0,D20/C20,"")</f>
        <v/>
      </c>
      <c r="I20" s="6" t="str">
        <f aca="false">IF(D20&gt;0,E20/D20,"")</f>
        <v/>
      </c>
      <c r="J20" s="12" t="str">
        <f aca="false">IF(G20&gt;0,F20/G20,"")</f>
        <v/>
      </c>
      <c r="K20" s="6" t="str">
        <f aca="false">IF(F20&gt;0,G20/F20,"")</f>
        <v/>
      </c>
      <c r="L20" s="4" t="str">
        <f aca="false">IF(C20="","",IF(C20&lt;200,"Ít hiển thị: xem lại từ khóa trong tên",IF(H20&lt;0.015,"CTR thấp: đổi ảnh bìa",IF(I20&lt;0.05,"Click nhưng ít đơn: xem lại giá, video, đánh giá",IF(AND(K20&lt;&gt;"",K20&gt;0.25),"ACOS cao: giảm giá thầu","Ổn: giữ và tăng dần ngân sách")))))</f>
        <v/>
      </c>
    </row>
    <row r="21" customFormat="false" ht="15" hidden="false" customHeight="false" outlineLevel="0" collapsed="false">
      <c r="A21" s="9"/>
      <c r="B21" s="9"/>
      <c r="C21" s="9"/>
      <c r="D21" s="9"/>
      <c r="E21" s="9"/>
      <c r="F21" s="10"/>
      <c r="G21" s="10"/>
      <c r="H21" s="11" t="str">
        <f aca="false">IF(C21&gt;0,D21/C21,"")</f>
        <v/>
      </c>
      <c r="I21" s="6" t="str">
        <f aca="false">IF(D21&gt;0,E21/D21,"")</f>
        <v/>
      </c>
      <c r="J21" s="12" t="str">
        <f aca="false">IF(G21&gt;0,F21/G21,"")</f>
        <v/>
      </c>
      <c r="K21" s="6" t="str">
        <f aca="false">IF(F21&gt;0,G21/F21,"")</f>
        <v/>
      </c>
      <c r="L21" s="4" t="str">
        <f aca="false">IF(C21="","",IF(C21&lt;200,"Ít hiển thị: xem lại từ khóa trong tên",IF(H21&lt;0.015,"CTR thấp: đổi ảnh bìa",IF(I21&lt;0.05,"Click nhưng ít đơn: xem lại giá, video, đánh giá",IF(AND(K21&lt;&gt;"",K21&gt;0.25),"ACOS cao: giảm giá thầu","Ổn: giữ và tăng dần ngân sách")))))</f>
        <v/>
      </c>
    </row>
    <row r="22" customFormat="false" ht="15" hidden="false" customHeight="false" outlineLevel="0" collapsed="false">
      <c r="A22" s="9"/>
      <c r="B22" s="9"/>
      <c r="C22" s="9"/>
      <c r="D22" s="9"/>
      <c r="E22" s="9"/>
      <c r="F22" s="10"/>
      <c r="G22" s="10"/>
      <c r="H22" s="11" t="str">
        <f aca="false">IF(C22&gt;0,D22/C22,"")</f>
        <v/>
      </c>
      <c r="I22" s="6" t="str">
        <f aca="false">IF(D22&gt;0,E22/D22,"")</f>
        <v/>
      </c>
      <c r="J22" s="12" t="str">
        <f aca="false">IF(G22&gt;0,F22/G22,"")</f>
        <v/>
      </c>
      <c r="K22" s="6" t="str">
        <f aca="false">IF(F22&gt;0,G22/F22,"")</f>
        <v/>
      </c>
      <c r="L22" s="4" t="str">
        <f aca="false">IF(C22="","",IF(C22&lt;200,"Ít hiển thị: xem lại từ khóa trong tên",IF(H22&lt;0.015,"CTR thấp: đổi ảnh bìa",IF(I22&lt;0.05,"Click nhưng ít đơn: xem lại giá, video, đánh giá",IF(AND(K22&lt;&gt;"",K22&gt;0.25),"ACOS cao: giảm giá thầu","Ổn: giữ và tăng dần ngân sách")))))</f>
        <v/>
      </c>
    </row>
    <row r="23" customFormat="false" ht="15" hidden="false" customHeight="false" outlineLevel="0" collapsed="false">
      <c r="A23" s="9"/>
      <c r="B23" s="9"/>
      <c r="C23" s="9"/>
      <c r="D23" s="9"/>
      <c r="E23" s="9"/>
      <c r="F23" s="10"/>
      <c r="G23" s="10"/>
      <c r="H23" s="11" t="str">
        <f aca="false">IF(C23&gt;0,D23/C23,"")</f>
        <v/>
      </c>
      <c r="I23" s="6" t="str">
        <f aca="false">IF(D23&gt;0,E23/D23,"")</f>
        <v/>
      </c>
      <c r="J23" s="12" t="str">
        <f aca="false">IF(G23&gt;0,F23/G23,"")</f>
        <v/>
      </c>
      <c r="K23" s="6" t="str">
        <f aca="false">IF(F23&gt;0,G23/F23,"")</f>
        <v/>
      </c>
      <c r="L23" s="4" t="str">
        <f aca="false">IF(C23="","",IF(C23&lt;200,"Ít hiển thị: xem lại từ khóa trong tên",IF(H23&lt;0.015,"CTR thấp: đổi ảnh bìa",IF(I23&lt;0.05,"Click nhưng ít đơn: xem lại giá, video, đánh giá",IF(AND(K23&lt;&gt;"",K23&gt;0.25),"ACOS cao: giảm giá thầu","Ổn: giữ và tăng dần ngân sách")))))</f>
        <v/>
      </c>
    </row>
    <row r="24" customFormat="false" ht="15" hidden="false" customHeight="false" outlineLevel="0" collapsed="false">
      <c r="A24" s="9"/>
      <c r="B24" s="9"/>
      <c r="C24" s="9"/>
      <c r="D24" s="9"/>
      <c r="E24" s="9"/>
      <c r="F24" s="10"/>
      <c r="G24" s="10"/>
      <c r="H24" s="11" t="str">
        <f aca="false">IF(C24&gt;0,D24/C24,"")</f>
        <v/>
      </c>
      <c r="I24" s="6" t="str">
        <f aca="false">IF(D24&gt;0,E24/D24,"")</f>
        <v/>
      </c>
      <c r="J24" s="12" t="str">
        <f aca="false">IF(G24&gt;0,F24/G24,"")</f>
        <v/>
      </c>
      <c r="K24" s="6" t="str">
        <f aca="false">IF(F24&gt;0,G24/F24,"")</f>
        <v/>
      </c>
      <c r="L24" s="4" t="str">
        <f aca="false">IF(C24="","",IF(C24&lt;200,"Ít hiển thị: xem lại từ khóa trong tên",IF(H24&lt;0.015,"CTR thấp: đổi ảnh bìa",IF(I24&lt;0.05,"Click nhưng ít đơn: xem lại giá, video, đánh giá",IF(AND(K24&lt;&gt;"",K24&gt;0.25),"ACOS cao: giảm giá thầu","Ổn: giữ và tăng dần ngân sách")))))</f>
        <v/>
      </c>
    </row>
    <row r="25" customFormat="false" ht="15" hidden="false" customHeight="false" outlineLevel="0" collapsed="false">
      <c r="A25" s="9"/>
      <c r="B25" s="9"/>
      <c r="C25" s="9"/>
      <c r="D25" s="9"/>
      <c r="E25" s="9"/>
      <c r="F25" s="10"/>
      <c r="G25" s="10"/>
      <c r="H25" s="11" t="str">
        <f aca="false">IF(C25&gt;0,D25/C25,"")</f>
        <v/>
      </c>
      <c r="I25" s="6" t="str">
        <f aca="false">IF(D25&gt;0,E25/D25,"")</f>
        <v/>
      </c>
      <c r="J25" s="12" t="str">
        <f aca="false">IF(G25&gt;0,F25/G25,"")</f>
        <v/>
      </c>
      <c r="K25" s="6" t="str">
        <f aca="false">IF(F25&gt;0,G25/F25,"")</f>
        <v/>
      </c>
      <c r="L25" s="4" t="str">
        <f aca="false">IF(C25="","",IF(C25&lt;200,"Ít hiển thị: xem lại từ khóa trong tên",IF(H25&lt;0.015,"CTR thấp: đổi ảnh bìa",IF(I25&lt;0.05,"Click nhưng ít đơn: xem lại giá, video, đánh giá",IF(AND(K25&lt;&gt;"",K25&gt;0.25),"ACOS cao: giảm giá thầu","Ổn: giữ và tăng dần ngân sách")))))</f>
        <v/>
      </c>
    </row>
    <row r="26" customFormat="false" ht="15" hidden="false" customHeight="false" outlineLevel="0" collapsed="false">
      <c r="A26" s="9"/>
      <c r="B26" s="9"/>
      <c r="C26" s="9"/>
      <c r="D26" s="9"/>
      <c r="E26" s="9"/>
      <c r="F26" s="10"/>
      <c r="G26" s="10"/>
      <c r="H26" s="11" t="str">
        <f aca="false">IF(C26&gt;0,D26/C26,"")</f>
        <v/>
      </c>
      <c r="I26" s="6" t="str">
        <f aca="false">IF(D26&gt;0,E26/D26,"")</f>
        <v/>
      </c>
      <c r="J26" s="12" t="str">
        <f aca="false">IF(G26&gt;0,F26/G26,"")</f>
        <v/>
      </c>
      <c r="K26" s="6" t="str">
        <f aca="false">IF(F26&gt;0,G26/F26,"")</f>
        <v/>
      </c>
      <c r="L26" s="4" t="str">
        <f aca="false">IF(C26="","",IF(C26&lt;200,"Ít hiển thị: xem lại từ khóa trong tên",IF(H26&lt;0.015,"CTR thấp: đổi ảnh bìa",IF(I26&lt;0.05,"Click nhưng ít đơn: xem lại giá, video, đánh giá",IF(AND(K26&lt;&gt;"",K26&gt;0.25),"ACOS cao: giảm giá thầu","Ổn: giữ và tăng dần ngân sách")))))</f>
        <v/>
      </c>
    </row>
    <row r="27" customFormat="false" ht="15" hidden="false" customHeight="false" outlineLevel="0" collapsed="false">
      <c r="A27" s="9"/>
      <c r="B27" s="9"/>
      <c r="C27" s="9"/>
      <c r="D27" s="9"/>
      <c r="E27" s="9"/>
      <c r="F27" s="10"/>
      <c r="G27" s="10"/>
      <c r="H27" s="11" t="str">
        <f aca="false">IF(C27&gt;0,D27/C27,"")</f>
        <v/>
      </c>
      <c r="I27" s="6" t="str">
        <f aca="false">IF(D27&gt;0,E27/D27,"")</f>
        <v/>
      </c>
      <c r="J27" s="12" t="str">
        <f aca="false">IF(G27&gt;0,F27/G27,"")</f>
        <v/>
      </c>
      <c r="K27" s="6" t="str">
        <f aca="false">IF(F27&gt;0,G27/F27,"")</f>
        <v/>
      </c>
      <c r="L27" s="4" t="str">
        <f aca="false">IF(C27="","",IF(C27&lt;200,"Ít hiển thị: xem lại từ khóa trong tên",IF(H27&lt;0.015,"CTR thấp: đổi ảnh bìa",IF(I27&lt;0.05,"Click nhưng ít đơn: xem lại giá, video, đánh giá",IF(AND(K27&lt;&gt;"",K27&gt;0.25),"ACOS cao: giảm giá thầu","Ổn: giữ và tăng dần ngân sách")))))</f>
        <v/>
      </c>
    </row>
    <row r="28" customFormat="false" ht="15" hidden="false" customHeight="false" outlineLevel="0" collapsed="false">
      <c r="A28" s="9"/>
      <c r="B28" s="9"/>
      <c r="C28" s="9"/>
      <c r="D28" s="9"/>
      <c r="E28" s="9"/>
      <c r="F28" s="10"/>
      <c r="G28" s="10"/>
      <c r="H28" s="11" t="str">
        <f aca="false">IF(C28&gt;0,D28/C28,"")</f>
        <v/>
      </c>
      <c r="I28" s="6" t="str">
        <f aca="false">IF(D28&gt;0,E28/D28,"")</f>
        <v/>
      </c>
      <c r="J28" s="12" t="str">
        <f aca="false">IF(G28&gt;0,F28/G28,"")</f>
        <v/>
      </c>
      <c r="K28" s="6" t="str">
        <f aca="false">IF(F28&gt;0,G28/F28,"")</f>
        <v/>
      </c>
      <c r="L28" s="4" t="str">
        <f aca="false">IF(C28="","",IF(C28&lt;200,"Ít hiển thị: xem lại từ khóa trong tên",IF(H28&lt;0.015,"CTR thấp: đổi ảnh bìa",IF(I28&lt;0.05,"Click nhưng ít đơn: xem lại giá, video, đánh giá",IF(AND(K28&lt;&gt;"",K28&gt;0.25),"ACOS cao: giảm giá thầu","Ổn: giữ và tăng dần ngân sách")))))</f>
        <v/>
      </c>
    </row>
    <row r="29" customFormat="false" ht="15" hidden="false" customHeight="false" outlineLevel="0" collapsed="false">
      <c r="A29" s="9"/>
      <c r="B29" s="9"/>
      <c r="C29" s="9"/>
      <c r="D29" s="9"/>
      <c r="E29" s="9"/>
      <c r="F29" s="10"/>
      <c r="G29" s="10"/>
      <c r="H29" s="11" t="str">
        <f aca="false">IF(C29&gt;0,D29/C29,"")</f>
        <v/>
      </c>
      <c r="I29" s="6" t="str">
        <f aca="false">IF(D29&gt;0,E29/D29,"")</f>
        <v/>
      </c>
      <c r="J29" s="12" t="str">
        <f aca="false">IF(G29&gt;0,F29/G29,"")</f>
        <v/>
      </c>
      <c r="K29" s="6" t="str">
        <f aca="false">IF(F29&gt;0,G29/F29,"")</f>
        <v/>
      </c>
      <c r="L29" s="4" t="str">
        <f aca="false">IF(C29="","",IF(C29&lt;200,"Ít hiển thị: xem lại từ khóa trong tên",IF(H29&lt;0.015,"CTR thấp: đổi ảnh bìa",IF(I29&lt;0.05,"Click nhưng ít đơn: xem lại giá, video, đánh giá",IF(AND(K29&lt;&gt;"",K29&gt;0.25),"ACOS cao: giảm giá thầu","Ổn: giữ và tăng dần ngân sách")))))</f>
        <v/>
      </c>
    </row>
    <row r="30" customFormat="false" ht="15" hidden="false" customHeight="false" outlineLevel="0" collapsed="false">
      <c r="A30" s="9"/>
      <c r="B30" s="9"/>
      <c r="C30" s="9"/>
      <c r="D30" s="9"/>
      <c r="E30" s="9"/>
      <c r="F30" s="10"/>
      <c r="G30" s="10"/>
      <c r="H30" s="11" t="str">
        <f aca="false">IF(C30&gt;0,D30/C30,"")</f>
        <v/>
      </c>
      <c r="I30" s="6" t="str">
        <f aca="false">IF(D30&gt;0,E30/D30,"")</f>
        <v/>
      </c>
      <c r="J30" s="12" t="str">
        <f aca="false">IF(G30&gt;0,F30/G30,"")</f>
        <v/>
      </c>
      <c r="K30" s="6" t="str">
        <f aca="false">IF(F30&gt;0,G30/F30,"")</f>
        <v/>
      </c>
      <c r="L30" s="4" t="str">
        <f aca="false">IF(C30="","",IF(C30&lt;200,"Ít hiển thị: xem lại từ khóa trong tên",IF(H30&lt;0.015,"CTR thấp: đổi ảnh bìa",IF(I30&lt;0.05,"Click nhưng ít đơn: xem lại giá, video, đánh giá",IF(AND(K30&lt;&gt;"",K30&gt;0.25),"ACOS cao: giảm giá thầu","Ổn: giữ và tăng dần ngân sách")))))</f>
        <v/>
      </c>
    </row>
    <row r="31" customFormat="false" ht="15" hidden="false" customHeight="false" outlineLevel="0" collapsed="false">
      <c r="A31" s="9"/>
      <c r="B31" s="9"/>
      <c r="C31" s="9"/>
      <c r="D31" s="9"/>
      <c r="E31" s="9"/>
      <c r="F31" s="10"/>
      <c r="G31" s="10"/>
      <c r="H31" s="11" t="str">
        <f aca="false">IF(C31&gt;0,D31/C31,"")</f>
        <v/>
      </c>
      <c r="I31" s="6" t="str">
        <f aca="false">IF(D31&gt;0,E31/D31,"")</f>
        <v/>
      </c>
      <c r="J31" s="12" t="str">
        <f aca="false">IF(G31&gt;0,F31/G31,"")</f>
        <v/>
      </c>
      <c r="K31" s="6" t="str">
        <f aca="false">IF(F31&gt;0,G31/F31,"")</f>
        <v/>
      </c>
      <c r="L31" s="4" t="str">
        <f aca="false">IF(C31="","",IF(C31&lt;200,"Ít hiển thị: xem lại từ khóa trong tên",IF(H31&lt;0.015,"CTR thấp: đổi ảnh bìa",IF(I31&lt;0.05,"Click nhưng ít đơn: xem lại giá, video, đánh giá",IF(AND(K31&lt;&gt;"",K31&gt;0.25),"ACOS cao: giảm giá thầu","Ổn: giữ và tăng dần ngân sách")))))</f>
        <v/>
      </c>
    </row>
    <row r="32" customFormat="false" ht="15" hidden="false" customHeight="false" outlineLevel="0" collapsed="false">
      <c r="A32" s="9"/>
      <c r="B32" s="9"/>
      <c r="C32" s="9"/>
      <c r="D32" s="9"/>
      <c r="E32" s="9"/>
      <c r="F32" s="10"/>
      <c r="G32" s="10"/>
      <c r="H32" s="11" t="str">
        <f aca="false">IF(C32&gt;0,D32/C32,"")</f>
        <v/>
      </c>
      <c r="I32" s="6" t="str">
        <f aca="false">IF(D32&gt;0,E32/D32,"")</f>
        <v/>
      </c>
      <c r="J32" s="12" t="str">
        <f aca="false">IF(G32&gt;0,F32/G32,"")</f>
        <v/>
      </c>
      <c r="K32" s="6" t="str">
        <f aca="false">IF(F32&gt;0,G32/F32,"")</f>
        <v/>
      </c>
      <c r="L32" s="4" t="str">
        <f aca="false">IF(C32="","",IF(C32&lt;200,"Ít hiển thị: xem lại từ khóa trong tên",IF(H32&lt;0.015,"CTR thấp: đổi ảnh bìa",IF(I32&lt;0.05,"Click nhưng ít đơn: xem lại giá, video, đánh giá",IF(AND(K32&lt;&gt;"",K32&gt;0.25),"ACOS cao: giảm giá thầu","Ổn: giữ và tăng dần ngân sách")))))</f>
        <v/>
      </c>
    </row>
    <row r="33" customFormat="false" ht="15" hidden="false" customHeight="false" outlineLevel="0" collapsed="false">
      <c r="A33" s="9"/>
      <c r="B33" s="9"/>
      <c r="C33" s="9"/>
      <c r="D33" s="9"/>
      <c r="E33" s="9"/>
      <c r="F33" s="10"/>
      <c r="G33" s="10"/>
      <c r="H33" s="11" t="str">
        <f aca="false">IF(C33&gt;0,D33/C33,"")</f>
        <v/>
      </c>
      <c r="I33" s="6" t="str">
        <f aca="false">IF(D33&gt;0,E33/D33,"")</f>
        <v/>
      </c>
      <c r="J33" s="12" t="str">
        <f aca="false">IF(G33&gt;0,F33/G33,"")</f>
        <v/>
      </c>
      <c r="K33" s="6" t="str">
        <f aca="false">IF(F33&gt;0,G33/F33,"")</f>
        <v/>
      </c>
      <c r="L33" s="4" t="str">
        <f aca="false">IF(C33="","",IF(C33&lt;200,"Ít hiển thị: xem lại từ khóa trong tên",IF(H33&lt;0.015,"CTR thấp: đổi ảnh bìa",IF(I33&lt;0.05,"Click nhưng ít đơn: xem lại giá, video, đánh giá",IF(AND(K33&lt;&gt;"",K33&gt;0.25),"ACOS cao: giảm giá thầu","Ổn: giữ và tăng dần ngân sách")))))</f>
        <v/>
      </c>
    </row>
    <row r="34" customFormat="false" ht="15" hidden="false" customHeight="false" outlineLevel="0" collapsed="false">
      <c r="A34" s="9"/>
      <c r="B34" s="9"/>
      <c r="C34" s="9"/>
      <c r="D34" s="9"/>
      <c r="E34" s="9"/>
      <c r="F34" s="10"/>
      <c r="G34" s="10"/>
      <c r="H34" s="11" t="str">
        <f aca="false">IF(C34&gt;0,D34/C34,"")</f>
        <v/>
      </c>
      <c r="I34" s="6" t="str">
        <f aca="false">IF(D34&gt;0,E34/D34,"")</f>
        <v/>
      </c>
      <c r="J34" s="12" t="str">
        <f aca="false">IF(G34&gt;0,F34/G34,"")</f>
        <v/>
      </c>
      <c r="K34" s="6" t="str">
        <f aca="false">IF(F34&gt;0,G34/F34,"")</f>
        <v/>
      </c>
      <c r="L34" s="4" t="str">
        <f aca="false">IF(C34="","",IF(C34&lt;200,"Ít hiển thị: xem lại từ khóa trong tên",IF(H34&lt;0.015,"CTR thấp: đổi ảnh bìa",IF(I34&lt;0.05,"Click nhưng ít đơn: xem lại giá, video, đánh giá",IF(AND(K34&lt;&gt;"",K34&gt;0.25),"ACOS cao: giảm giá thầu","Ổn: giữ và tăng dần ngân sách")))))</f>
        <v/>
      </c>
    </row>
    <row r="35" customFormat="false" ht="15" hidden="false" customHeight="false" outlineLevel="0" collapsed="false">
      <c r="A35" s="9"/>
      <c r="B35" s="9"/>
      <c r="C35" s="9"/>
      <c r="D35" s="9"/>
      <c r="E35" s="9"/>
      <c r="F35" s="10"/>
      <c r="G35" s="10"/>
      <c r="H35" s="11" t="str">
        <f aca="false">IF(C35&gt;0,D35/C35,"")</f>
        <v/>
      </c>
      <c r="I35" s="6" t="str">
        <f aca="false">IF(D35&gt;0,E35/D35,"")</f>
        <v/>
      </c>
      <c r="J35" s="12" t="str">
        <f aca="false">IF(G35&gt;0,F35/G35,"")</f>
        <v/>
      </c>
      <c r="K35" s="6" t="str">
        <f aca="false">IF(F35&gt;0,G35/F35,"")</f>
        <v/>
      </c>
      <c r="L35" s="4" t="str">
        <f aca="false">IF(C35="","",IF(C35&lt;200,"Ít hiển thị: xem lại từ khóa trong tên",IF(H35&lt;0.015,"CTR thấp: đổi ảnh bìa",IF(I35&lt;0.05,"Click nhưng ít đơn: xem lại giá, video, đánh giá",IF(AND(K35&lt;&gt;"",K35&gt;0.25),"ACOS cao: giảm giá thầu","Ổn: giữ và tăng dần ngân sách")))))</f>
        <v/>
      </c>
    </row>
    <row r="36" customFormat="false" ht="15" hidden="false" customHeight="false" outlineLevel="0" collapsed="false">
      <c r="A36" s="9"/>
      <c r="B36" s="9"/>
      <c r="C36" s="9"/>
      <c r="D36" s="9"/>
      <c r="E36" s="9"/>
      <c r="F36" s="10"/>
      <c r="G36" s="10"/>
      <c r="H36" s="11" t="str">
        <f aca="false">IF(C36&gt;0,D36/C36,"")</f>
        <v/>
      </c>
      <c r="I36" s="6" t="str">
        <f aca="false">IF(D36&gt;0,E36/D36,"")</f>
        <v/>
      </c>
      <c r="J36" s="12" t="str">
        <f aca="false">IF(G36&gt;0,F36/G36,"")</f>
        <v/>
      </c>
      <c r="K36" s="6" t="str">
        <f aca="false">IF(F36&gt;0,G36/F36,"")</f>
        <v/>
      </c>
      <c r="L36" s="4" t="str">
        <f aca="false">IF(C36="","",IF(C36&lt;200,"Ít hiển thị: xem lại từ khóa trong tên",IF(H36&lt;0.015,"CTR thấp: đổi ảnh bìa",IF(I36&lt;0.05,"Click nhưng ít đơn: xem lại giá, video, đánh giá",IF(AND(K36&lt;&gt;"",K36&gt;0.25),"ACOS cao: giảm giá thầu","Ổn: giữ và tăng dần ngân sách")))))</f>
        <v/>
      </c>
    </row>
    <row r="37" customFormat="false" ht="15" hidden="false" customHeight="false" outlineLevel="0" collapsed="false">
      <c r="A37" s="9"/>
      <c r="B37" s="9"/>
      <c r="C37" s="9"/>
      <c r="D37" s="9"/>
      <c r="E37" s="9"/>
      <c r="F37" s="10"/>
      <c r="G37" s="10"/>
      <c r="H37" s="11" t="str">
        <f aca="false">IF(C37&gt;0,D37/C37,"")</f>
        <v/>
      </c>
      <c r="I37" s="6" t="str">
        <f aca="false">IF(D37&gt;0,E37/D37,"")</f>
        <v/>
      </c>
      <c r="J37" s="12" t="str">
        <f aca="false">IF(G37&gt;0,F37/G37,"")</f>
        <v/>
      </c>
      <c r="K37" s="6" t="str">
        <f aca="false">IF(F37&gt;0,G37/F37,"")</f>
        <v/>
      </c>
      <c r="L37" s="4" t="str">
        <f aca="false">IF(C37="","",IF(C37&lt;200,"Ít hiển thị: xem lại từ khóa trong tên",IF(H37&lt;0.015,"CTR thấp: đổi ảnh bìa",IF(I37&lt;0.05,"Click nhưng ít đơn: xem lại giá, video, đánh giá",IF(AND(K37&lt;&gt;"",K37&gt;0.25),"ACOS cao: giảm giá thầu","Ổn: giữ và tăng dần ngân sách")))))</f>
        <v/>
      </c>
    </row>
    <row r="38" customFormat="false" ht="15" hidden="false" customHeight="false" outlineLevel="0" collapsed="false">
      <c r="A38" s="9"/>
      <c r="B38" s="9"/>
      <c r="C38" s="9"/>
      <c r="D38" s="9"/>
      <c r="E38" s="9"/>
      <c r="F38" s="10"/>
      <c r="G38" s="10"/>
      <c r="H38" s="11" t="str">
        <f aca="false">IF(C38&gt;0,D38/C38,"")</f>
        <v/>
      </c>
      <c r="I38" s="6" t="str">
        <f aca="false">IF(D38&gt;0,E38/D38,"")</f>
        <v/>
      </c>
      <c r="J38" s="12" t="str">
        <f aca="false">IF(G38&gt;0,F38/G38,"")</f>
        <v/>
      </c>
      <c r="K38" s="6" t="str">
        <f aca="false">IF(F38&gt;0,G38/F38,"")</f>
        <v/>
      </c>
      <c r="L38" s="4" t="str">
        <f aca="false">IF(C38="","",IF(C38&lt;200,"Ít hiển thị: xem lại từ khóa trong tên",IF(H38&lt;0.015,"CTR thấp: đổi ảnh bìa",IF(I38&lt;0.05,"Click nhưng ít đơn: xem lại giá, video, đánh giá",IF(AND(K38&lt;&gt;"",K38&gt;0.25),"ACOS cao: giảm giá thầu","Ổn: giữ và tăng dần ngân sách")))))</f>
        <v/>
      </c>
    </row>
    <row r="39" customFormat="false" ht="15" hidden="false" customHeight="false" outlineLevel="0" collapsed="false">
      <c r="A39" s="9"/>
      <c r="B39" s="9"/>
      <c r="C39" s="9"/>
      <c r="D39" s="9"/>
      <c r="E39" s="9"/>
      <c r="F39" s="10"/>
      <c r="G39" s="10"/>
      <c r="H39" s="11" t="str">
        <f aca="false">IF(C39&gt;0,D39/C39,"")</f>
        <v/>
      </c>
      <c r="I39" s="6" t="str">
        <f aca="false">IF(D39&gt;0,E39/D39,"")</f>
        <v/>
      </c>
      <c r="J39" s="12" t="str">
        <f aca="false">IF(G39&gt;0,F39/G39,"")</f>
        <v/>
      </c>
      <c r="K39" s="6" t="str">
        <f aca="false">IF(F39&gt;0,G39/F39,"")</f>
        <v/>
      </c>
      <c r="L39" s="4" t="str">
        <f aca="false">IF(C39="","",IF(C39&lt;200,"Ít hiển thị: xem lại từ khóa trong tên",IF(H39&lt;0.015,"CTR thấp: đổi ảnh bìa",IF(I39&lt;0.05,"Click nhưng ít đơn: xem lại giá, video, đánh giá",IF(AND(K39&lt;&gt;"",K39&gt;0.25),"ACOS cao: giảm giá thầu","Ổn: giữ và tăng dần ngân sách")))))</f>
        <v/>
      </c>
    </row>
    <row r="40" customFormat="false" ht="15" hidden="false" customHeight="false" outlineLevel="0" collapsed="false">
      <c r="A40" s="9"/>
      <c r="B40" s="9"/>
      <c r="C40" s="9"/>
      <c r="D40" s="9"/>
      <c r="E40" s="9"/>
      <c r="F40" s="10"/>
      <c r="G40" s="10"/>
      <c r="H40" s="11" t="str">
        <f aca="false">IF(C40&gt;0,D40/C40,"")</f>
        <v/>
      </c>
      <c r="I40" s="6" t="str">
        <f aca="false">IF(D40&gt;0,E40/D40,"")</f>
        <v/>
      </c>
      <c r="J40" s="12" t="str">
        <f aca="false">IF(G40&gt;0,F40/G40,"")</f>
        <v/>
      </c>
      <c r="K40" s="6" t="str">
        <f aca="false">IF(F40&gt;0,G40/F40,"")</f>
        <v/>
      </c>
      <c r="L40" s="4" t="str">
        <f aca="false">IF(C40="","",IF(C40&lt;200,"Ít hiển thị: xem lại từ khóa trong tên",IF(H40&lt;0.015,"CTR thấp: đổi ảnh bìa",IF(I40&lt;0.05,"Click nhưng ít đơn: xem lại giá, video, đánh giá",IF(AND(K40&lt;&gt;"",K40&gt;0.25),"ACOS cao: giảm giá thầu","Ổn: giữ và tăng dần ngân sách")))))</f>
        <v/>
      </c>
    </row>
    <row r="41" customFormat="false" ht="15" hidden="false" customHeight="false" outlineLevel="0" collapsed="false">
      <c r="A41" s="9"/>
      <c r="B41" s="9"/>
      <c r="C41" s="9"/>
      <c r="D41" s="9"/>
      <c r="E41" s="9"/>
      <c r="F41" s="10"/>
      <c r="G41" s="10"/>
      <c r="H41" s="11" t="str">
        <f aca="false">IF(C41&gt;0,D41/C41,"")</f>
        <v/>
      </c>
      <c r="I41" s="6" t="str">
        <f aca="false">IF(D41&gt;0,E41/D41,"")</f>
        <v/>
      </c>
      <c r="J41" s="12" t="str">
        <f aca="false">IF(G41&gt;0,F41/G41,"")</f>
        <v/>
      </c>
      <c r="K41" s="6" t="str">
        <f aca="false">IF(F41&gt;0,G41/F41,"")</f>
        <v/>
      </c>
      <c r="L41" s="4" t="str">
        <f aca="false">IF(C41="","",IF(C41&lt;200,"Ít hiển thị: xem lại từ khóa trong tên",IF(H41&lt;0.015,"CTR thấp: đổi ảnh bìa",IF(I41&lt;0.05,"Click nhưng ít đơn: xem lại giá, video, đánh giá",IF(AND(K41&lt;&gt;"",K41&gt;0.25),"ACOS cao: giảm giá thầu","Ổn: giữ và tăng dần ngân sách")))))</f>
        <v/>
      </c>
    </row>
    <row r="42" customFormat="false" ht="15" hidden="false" customHeight="false" outlineLevel="0" collapsed="false">
      <c r="A42" s="9"/>
      <c r="B42" s="9"/>
      <c r="C42" s="9"/>
      <c r="D42" s="9"/>
      <c r="E42" s="9"/>
      <c r="F42" s="10"/>
      <c r="G42" s="10"/>
      <c r="H42" s="11" t="str">
        <f aca="false">IF(C42&gt;0,D42/C42,"")</f>
        <v/>
      </c>
      <c r="I42" s="6" t="str">
        <f aca="false">IF(D42&gt;0,E42/D42,"")</f>
        <v/>
      </c>
      <c r="J42" s="12" t="str">
        <f aca="false">IF(G42&gt;0,F42/G42,"")</f>
        <v/>
      </c>
      <c r="K42" s="6" t="str">
        <f aca="false">IF(F42&gt;0,G42/F42,"")</f>
        <v/>
      </c>
      <c r="L42" s="4" t="str">
        <f aca="false">IF(C42="","",IF(C42&lt;200,"Ít hiển thị: xem lại từ khóa trong tên",IF(H42&lt;0.015,"CTR thấp: đổi ảnh bìa",IF(I42&lt;0.05,"Click nhưng ít đơn: xem lại giá, video, đánh giá",IF(AND(K42&lt;&gt;"",K42&gt;0.25),"ACOS cao: giảm giá thầu","Ổn: giữ và tăng dần ngân sách")))))</f>
        <v/>
      </c>
    </row>
    <row r="43" customFormat="false" ht="15" hidden="false" customHeight="false" outlineLevel="0" collapsed="false">
      <c r="A43" s="9"/>
      <c r="B43" s="9"/>
      <c r="C43" s="9"/>
      <c r="D43" s="9"/>
      <c r="E43" s="9"/>
      <c r="F43" s="10"/>
      <c r="G43" s="10"/>
      <c r="H43" s="11" t="str">
        <f aca="false">IF(C43&gt;0,D43/C43,"")</f>
        <v/>
      </c>
      <c r="I43" s="6" t="str">
        <f aca="false">IF(D43&gt;0,E43/D43,"")</f>
        <v/>
      </c>
      <c r="J43" s="12" t="str">
        <f aca="false">IF(G43&gt;0,F43/G43,"")</f>
        <v/>
      </c>
      <c r="K43" s="6" t="str">
        <f aca="false">IF(F43&gt;0,G43/F43,"")</f>
        <v/>
      </c>
      <c r="L43" s="4" t="str">
        <f aca="false">IF(C43="","",IF(C43&lt;200,"Ít hiển thị: xem lại từ khóa trong tên",IF(H43&lt;0.015,"CTR thấp: đổi ảnh bìa",IF(I43&lt;0.05,"Click nhưng ít đơn: xem lại giá, video, đánh giá",IF(AND(K43&lt;&gt;"",K43&gt;0.25),"ACOS cao: giảm giá thầu","Ổn: giữ và tăng dần ngân sách")))))</f>
        <v/>
      </c>
    </row>
    <row r="44" customFormat="false" ht="15" hidden="false" customHeight="false" outlineLevel="0" collapsed="false">
      <c r="A44" s="9"/>
      <c r="B44" s="9"/>
      <c r="C44" s="9"/>
      <c r="D44" s="9"/>
      <c r="E44" s="9"/>
      <c r="F44" s="10"/>
      <c r="G44" s="10"/>
      <c r="H44" s="11" t="str">
        <f aca="false">IF(C44&gt;0,D44/C44,"")</f>
        <v/>
      </c>
      <c r="I44" s="6" t="str">
        <f aca="false">IF(D44&gt;0,E44/D44,"")</f>
        <v/>
      </c>
      <c r="J44" s="12" t="str">
        <f aca="false">IF(G44&gt;0,F44/G44,"")</f>
        <v/>
      </c>
      <c r="K44" s="6" t="str">
        <f aca="false">IF(F44&gt;0,G44/F44,"")</f>
        <v/>
      </c>
      <c r="L44" s="4" t="str">
        <f aca="false">IF(C44="","",IF(C44&lt;200,"Ít hiển thị: xem lại từ khóa trong tên",IF(H44&lt;0.015,"CTR thấp: đổi ảnh bìa",IF(I44&lt;0.05,"Click nhưng ít đơn: xem lại giá, video, đánh giá",IF(AND(K44&lt;&gt;"",K44&gt;0.25),"ACOS cao: giảm giá thầu","Ổn: giữ và tăng dần ngân sách")))))</f>
        <v/>
      </c>
    </row>
    <row r="45" customFormat="false" ht="15" hidden="false" customHeight="false" outlineLevel="0" collapsed="false">
      <c r="A45" s="9"/>
      <c r="B45" s="9"/>
      <c r="C45" s="9"/>
      <c r="D45" s="9"/>
      <c r="E45" s="9"/>
      <c r="F45" s="10"/>
      <c r="G45" s="10"/>
      <c r="H45" s="11" t="str">
        <f aca="false">IF(C45&gt;0,D45/C45,"")</f>
        <v/>
      </c>
      <c r="I45" s="6" t="str">
        <f aca="false">IF(D45&gt;0,E45/D45,"")</f>
        <v/>
      </c>
      <c r="J45" s="12" t="str">
        <f aca="false">IF(G45&gt;0,F45/G45,"")</f>
        <v/>
      </c>
      <c r="K45" s="6" t="str">
        <f aca="false">IF(F45&gt;0,G45/F45,"")</f>
        <v/>
      </c>
      <c r="L45" s="4" t="str">
        <f aca="false">IF(C45="","",IF(C45&lt;200,"Ít hiển thị: xem lại từ khóa trong tên",IF(H45&lt;0.015,"CTR thấp: đổi ảnh bìa",IF(I45&lt;0.05,"Click nhưng ít đơn: xem lại giá, video, đánh giá",IF(AND(K45&lt;&gt;"",K45&gt;0.25),"ACOS cao: giảm giá thầu","Ổn: giữ và tăng dần ngân sách")))))</f>
        <v/>
      </c>
    </row>
    <row r="46" customFormat="false" ht="15" hidden="false" customHeight="false" outlineLevel="0" collapsed="false">
      <c r="A46" s="9"/>
      <c r="B46" s="9"/>
      <c r="C46" s="9"/>
      <c r="D46" s="9"/>
      <c r="E46" s="9"/>
      <c r="F46" s="10"/>
      <c r="G46" s="10"/>
      <c r="H46" s="11" t="str">
        <f aca="false">IF(C46&gt;0,D46/C46,"")</f>
        <v/>
      </c>
      <c r="I46" s="6" t="str">
        <f aca="false">IF(D46&gt;0,E46/D46,"")</f>
        <v/>
      </c>
      <c r="J46" s="12" t="str">
        <f aca="false">IF(G46&gt;0,F46/G46,"")</f>
        <v/>
      </c>
      <c r="K46" s="6" t="str">
        <f aca="false">IF(F46&gt;0,G46/F46,"")</f>
        <v/>
      </c>
      <c r="L46" s="4" t="str">
        <f aca="false">IF(C46="","",IF(C46&lt;200,"Ít hiển thị: xem lại từ khóa trong tên",IF(H46&lt;0.015,"CTR thấp: đổi ảnh bìa",IF(I46&lt;0.05,"Click nhưng ít đơn: xem lại giá, video, đánh giá",IF(AND(K46&lt;&gt;"",K46&gt;0.25),"ACOS cao: giảm giá thầu","Ổn: giữ và tăng dần ngân sách")))))</f>
        <v/>
      </c>
    </row>
    <row r="47" customFormat="false" ht="15" hidden="false" customHeight="false" outlineLevel="0" collapsed="false">
      <c r="A47" s="9"/>
      <c r="B47" s="9"/>
      <c r="C47" s="9"/>
      <c r="D47" s="9"/>
      <c r="E47" s="9"/>
      <c r="F47" s="10"/>
      <c r="G47" s="10"/>
      <c r="H47" s="11" t="str">
        <f aca="false">IF(C47&gt;0,D47/C47,"")</f>
        <v/>
      </c>
      <c r="I47" s="6" t="str">
        <f aca="false">IF(D47&gt;0,E47/D47,"")</f>
        <v/>
      </c>
      <c r="J47" s="12" t="str">
        <f aca="false">IF(G47&gt;0,F47/G47,"")</f>
        <v/>
      </c>
      <c r="K47" s="6" t="str">
        <f aca="false">IF(F47&gt;0,G47/F47,"")</f>
        <v/>
      </c>
      <c r="L47" s="4" t="str">
        <f aca="false">IF(C47="","",IF(C47&lt;200,"Ít hiển thị: xem lại từ khóa trong tên",IF(H47&lt;0.015,"CTR thấp: đổi ảnh bìa",IF(I47&lt;0.05,"Click nhưng ít đơn: xem lại giá, video, đánh giá",IF(AND(K47&lt;&gt;"",K47&gt;0.25),"ACOS cao: giảm giá thầu","Ổn: giữ và tăng dần ngân sách")))))</f>
        <v/>
      </c>
    </row>
    <row r="48" customFormat="false" ht="15" hidden="false" customHeight="false" outlineLevel="0" collapsed="false">
      <c r="A48" s="9"/>
      <c r="B48" s="9"/>
      <c r="C48" s="9"/>
      <c r="D48" s="9"/>
      <c r="E48" s="9"/>
      <c r="F48" s="10"/>
      <c r="G48" s="10"/>
      <c r="H48" s="11" t="str">
        <f aca="false">IF(C48&gt;0,D48/C48,"")</f>
        <v/>
      </c>
      <c r="I48" s="6" t="str">
        <f aca="false">IF(D48&gt;0,E48/D48,"")</f>
        <v/>
      </c>
      <c r="J48" s="12" t="str">
        <f aca="false">IF(G48&gt;0,F48/G48,"")</f>
        <v/>
      </c>
      <c r="K48" s="6" t="str">
        <f aca="false">IF(F48&gt;0,G48/F48,"")</f>
        <v/>
      </c>
      <c r="L48" s="4" t="str">
        <f aca="false">IF(C48="","",IF(C48&lt;200,"Ít hiển thị: xem lại từ khóa trong tên",IF(H48&lt;0.015,"CTR thấp: đổi ảnh bìa",IF(I48&lt;0.05,"Click nhưng ít đơn: xem lại giá, video, đánh giá",IF(AND(K48&lt;&gt;"",K48&gt;0.25),"ACOS cao: giảm giá thầu","Ổn: giữ và tăng dần ngân sách")))))</f>
        <v/>
      </c>
    </row>
    <row r="49" customFormat="false" ht="15" hidden="false" customHeight="false" outlineLevel="0" collapsed="false">
      <c r="A49" s="9"/>
      <c r="B49" s="9"/>
      <c r="C49" s="9"/>
      <c r="D49" s="9"/>
      <c r="E49" s="9"/>
      <c r="F49" s="10"/>
      <c r="G49" s="10"/>
      <c r="H49" s="11" t="str">
        <f aca="false">IF(C49&gt;0,D49/C49,"")</f>
        <v/>
      </c>
      <c r="I49" s="6" t="str">
        <f aca="false">IF(D49&gt;0,E49/D49,"")</f>
        <v/>
      </c>
      <c r="J49" s="12" t="str">
        <f aca="false">IF(G49&gt;0,F49/G49,"")</f>
        <v/>
      </c>
      <c r="K49" s="6" t="str">
        <f aca="false">IF(F49&gt;0,G49/F49,"")</f>
        <v/>
      </c>
      <c r="L49" s="4" t="str">
        <f aca="false">IF(C49="","",IF(C49&lt;200,"Ít hiển thị: xem lại từ khóa trong tên",IF(H49&lt;0.015,"CTR thấp: đổi ảnh bìa",IF(I49&lt;0.05,"Click nhưng ít đơn: xem lại giá, video, đánh giá",IF(AND(K49&lt;&gt;"",K49&gt;0.25),"ACOS cao: giảm giá thầu","Ổn: giữ và tăng dần ngân sách")))))</f>
        <v/>
      </c>
    </row>
    <row r="50" customFormat="false" ht="15" hidden="false" customHeight="false" outlineLevel="0" collapsed="false">
      <c r="A50" s="9"/>
      <c r="B50" s="9"/>
      <c r="C50" s="9"/>
      <c r="D50" s="9"/>
      <c r="E50" s="9"/>
      <c r="F50" s="10"/>
      <c r="G50" s="10"/>
      <c r="H50" s="11" t="str">
        <f aca="false">IF(C50&gt;0,D50/C50,"")</f>
        <v/>
      </c>
      <c r="I50" s="6" t="str">
        <f aca="false">IF(D50&gt;0,E50/D50,"")</f>
        <v/>
      </c>
      <c r="J50" s="12" t="str">
        <f aca="false">IF(G50&gt;0,F50/G50,"")</f>
        <v/>
      </c>
      <c r="K50" s="6" t="str">
        <f aca="false">IF(F50&gt;0,G50/F50,"")</f>
        <v/>
      </c>
      <c r="L50" s="4" t="str">
        <f aca="false">IF(C50="","",IF(C50&lt;200,"Ít hiển thị: xem lại từ khóa trong tên",IF(H50&lt;0.015,"CTR thấp: đổi ảnh bìa",IF(I50&lt;0.05,"Click nhưng ít đơn: xem lại giá, video, đánh giá",IF(AND(K50&lt;&gt;"",K50&gt;0.25),"ACOS cao: giảm giá thầu","Ổn: giữ và tăng dần ngân sách")))))</f>
        <v/>
      </c>
    </row>
    <row r="51" customFormat="false" ht="15" hidden="false" customHeight="false" outlineLevel="0" collapsed="false">
      <c r="A51" s="9"/>
      <c r="B51" s="9"/>
      <c r="C51" s="9"/>
      <c r="D51" s="9"/>
      <c r="E51" s="9"/>
      <c r="F51" s="10"/>
      <c r="G51" s="10"/>
      <c r="H51" s="11" t="str">
        <f aca="false">IF(C51&gt;0,D51/C51,"")</f>
        <v/>
      </c>
      <c r="I51" s="6" t="str">
        <f aca="false">IF(D51&gt;0,E51/D51,"")</f>
        <v/>
      </c>
      <c r="J51" s="12" t="str">
        <f aca="false">IF(G51&gt;0,F51/G51,"")</f>
        <v/>
      </c>
      <c r="K51" s="6" t="str">
        <f aca="false">IF(F51&gt;0,G51/F51,"")</f>
        <v/>
      </c>
      <c r="L51" s="4" t="str">
        <f aca="false">IF(C51="","",IF(C51&lt;200,"Ít hiển thị: xem lại từ khóa trong tên",IF(H51&lt;0.015,"CTR thấp: đổi ảnh bìa",IF(I51&lt;0.05,"Click nhưng ít đơn: xem lại giá, video, đánh giá",IF(AND(K51&lt;&gt;"",K51&gt;0.25),"ACOS cao: giảm giá thầu","Ổn: giữ và tăng dần ngân sách")))))</f>
        <v/>
      </c>
    </row>
    <row r="52" customFormat="false" ht="15" hidden="false" customHeight="false" outlineLevel="0" collapsed="false">
      <c r="A52" s="9"/>
      <c r="B52" s="9"/>
      <c r="C52" s="9"/>
      <c r="D52" s="9"/>
      <c r="E52" s="9"/>
      <c r="F52" s="10"/>
      <c r="G52" s="10"/>
      <c r="H52" s="11" t="str">
        <f aca="false">IF(C52&gt;0,D52/C52,"")</f>
        <v/>
      </c>
      <c r="I52" s="6" t="str">
        <f aca="false">IF(D52&gt;0,E52/D52,"")</f>
        <v/>
      </c>
      <c r="J52" s="12" t="str">
        <f aca="false">IF(G52&gt;0,F52/G52,"")</f>
        <v/>
      </c>
      <c r="K52" s="6" t="str">
        <f aca="false">IF(F52&gt;0,G52/F52,"")</f>
        <v/>
      </c>
      <c r="L52" s="4" t="str">
        <f aca="false">IF(C52="","",IF(C52&lt;200,"Ít hiển thị: xem lại từ khóa trong tên",IF(H52&lt;0.015,"CTR thấp: đổi ảnh bìa",IF(I52&lt;0.05,"Click nhưng ít đơn: xem lại giá, video, đánh giá",IF(AND(K52&lt;&gt;"",K52&gt;0.25),"ACOS cao: giảm giá thầu","Ổn: giữ và tăng dần ngân sách")))))</f>
        <v/>
      </c>
    </row>
    <row r="53" customFormat="false" ht="15" hidden="false" customHeight="false" outlineLevel="0" collapsed="false">
      <c r="A53" s="9"/>
      <c r="B53" s="9"/>
      <c r="C53" s="9"/>
      <c r="D53" s="9"/>
      <c r="E53" s="9"/>
      <c r="F53" s="10"/>
      <c r="G53" s="10"/>
      <c r="H53" s="11" t="str">
        <f aca="false">IF(C53&gt;0,D53/C53,"")</f>
        <v/>
      </c>
      <c r="I53" s="6" t="str">
        <f aca="false">IF(D53&gt;0,E53/D53,"")</f>
        <v/>
      </c>
      <c r="J53" s="12" t="str">
        <f aca="false">IF(G53&gt;0,F53/G53,"")</f>
        <v/>
      </c>
      <c r="K53" s="6" t="str">
        <f aca="false">IF(F53&gt;0,G53/F53,"")</f>
        <v/>
      </c>
      <c r="L53" s="4" t="str">
        <f aca="false">IF(C53="","",IF(C53&lt;200,"Ít hiển thị: xem lại từ khóa trong tên",IF(H53&lt;0.015,"CTR thấp: đổi ảnh bìa",IF(I53&lt;0.05,"Click nhưng ít đơn: xem lại giá, video, đánh giá",IF(AND(K53&lt;&gt;"",K53&gt;0.25),"ACOS cao: giảm giá thầu","Ổn: giữ và tăng dần ngân sách")))))</f>
        <v/>
      </c>
    </row>
    <row r="54" customFormat="false" ht="15" hidden="false" customHeight="false" outlineLevel="0" collapsed="false">
      <c r="A54" s="9"/>
      <c r="B54" s="9"/>
      <c r="C54" s="9"/>
      <c r="D54" s="9"/>
      <c r="E54" s="9"/>
      <c r="F54" s="10"/>
      <c r="G54" s="10"/>
      <c r="H54" s="11" t="str">
        <f aca="false">IF(C54&gt;0,D54/C54,"")</f>
        <v/>
      </c>
      <c r="I54" s="6" t="str">
        <f aca="false">IF(D54&gt;0,E54/D54,"")</f>
        <v/>
      </c>
      <c r="J54" s="12" t="str">
        <f aca="false">IF(G54&gt;0,F54/G54,"")</f>
        <v/>
      </c>
      <c r="K54" s="6" t="str">
        <f aca="false">IF(F54&gt;0,G54/F54,"")</f>
        <v/>
      </c>
      <c r="L54" s="4" t="str">
        <f aca="false">IF(C54="","",IF(C54&lt;200,"Ít hiển thị: xem lại từ khóa trong tên",IF(H54&lt;0.015,"CTR thấp: đổi ảnh bìa",IF(I54&lt;0.05,"Click nhưng ít đơn: xem lại giá, video, đánh giá",IF(AND(K54&lt;&gt;"",K54&gt;0.25),"ACOS cao: giảm giá thầu","Ổn: giữ và tăng dần ngân sách")))))</f>
        <v/>
      </c>
    </row>
    <row r="55" customFormat="false" ht="15" hidden="false" customHeight="false" outlineLevel="0" collapsed="false">
      <c r="A55" s="9"/>
      <c r="B55" s="9"/>
      <c r="C55" s="9"/>
      <c r="D55" s="9"/>
      <c r="E55" s="9"/>
      <c r="F55" s="10"/>
      <c r="G55" s="10"/>
      <c r="H55" s="11" t="str">
        <f aca="false">IF(C55&gt;0,D55/C55,"")</f>
        <v/>
      </c>
      <c r="I55" s="6" t="str">
        <f aca="false">IF(D55&gt;0,E55/D55,"")</f>
        <v/>
      </c>
      <c r="J55" s="12" t="str">
        <f aca="false">IF(G55&gt;0,F55/G55,"")</f>
        <v/>
      </c>
      <c r="K55" s="6" t="str">
        <f aca="false">IF(F55&gt;0,G55/F55,"")</f>
        <v/>
      </c>
      <c r="L55" s="4" t="str">
        <f aca="false">IF(C55="","",IF(C55&lt;200,"Ít hiển thị: xem lại từ khóa trong tên",IF(H55&lt;0.015,"CTR thấp: đổi ảnh bìa",IF(I55&lt;0.05,"Click nhưng ít đơn: xem lại giá, video, đánh giá",IF(AND(K55&lt;&gt;"",K55&gt;0.25),"ACOS cao: giảm giá thầu","Ổn: giữ và tăng dần ngân sách")))))</f>
        <v/>
      </c>
    </row>
    <row r="56" customFormat="false" ht="15" hidden="false" customHeight="false" outlineLevel="0" collapsed="false">
      <c r="A56" s="9"/>
      <c r="B56" s="9"/>
      <c r="C56" s="9"/>
      <c r="D56" s="9"/>
      <c r="E56" s="9"/>
      <c r="F56" s="10"/>
      <c r="G56" s="10"/>
      <c r="H56" s="11" t="str">
        <f aca="false">IF(C56&gt;0,D56/C56,"")</f>
        <v/>
      </c>
      <c r="I56" s="6" t="str">
        <f aca="false">IF(D56&gt;0,E56/D56,"")</f>
        <v/>
      </c>
      <c r="J56" s="12" t="str">
        <f aca="false">IF(G56&gt;0,F56/G56,"")</f>
        <v/>
      </c>
      <c r="K56" s="6" t="str">
        <f aca="false">IF(F56&gt;0,G56/F56,"")</f>
        <v/>
      </c>
      <c r="L56" s="4" t="str">
        <f aca="false">IF(C56="","",IF(C56&lt;200,"Ít hiển thị: xem lại từ khóa trong tên",IF(H56&lt;0.015,"CTR thấp: đổi ảnh bìa",IF(I56&lt;0.05,"Click nhưng ít đơn: xem lại giá, video, đánh giá",IF(AND(K56&lt;&gt;"",K56&gt;0.25),"ACOS cao: giảm giá thầu","Ổn: giữ và tăng dần ngân sách")))))</f>
        <v/>
      </c>
    </row>
    <row r="57" customFormat="false" ht="15" hidden="false" customHeight="false" outlineLevel="0" collapsed="false">
      <c r="A57" s="9"/>
      <c r="B57" s="9"/>
      <c r="C57" s="9"/>
      <c r="D57" s="9"/>
      <c r="E57" s="9"/>
      <c r="F57" s="10"/>
      <c r="G57" s="10"/>
      <c r="H57" s="11" t="str">
        <f aca="false">IF(C57&gt;0,D57/C57,"")</f>
        <v/>
      </c>
      <c r="I57" s="6" t="str">
        <f aca="false">IF(D57&gt;0,E57/D57,"")</f>
        <v/>
      </c>
      <c r="J57" s="12" t="str">
        <f aca="false">IF(G57&gt;0,F57/G57,"")</f>
        <v/>
      </c>
      <c r="K57" s="6" t="str">
        <f aca="false">IF(F57&gt;0,G57/F57,"")</f>
        <v/>
      </c>
      <c r="L57" s="4" t="str">
        <f aca="false">IF(C57="","",IF(C57&lt;200,"Ít hiển thị: xem lại từ khóa trong tên",IF(H57&lt;0.015,"CTR thấp: đổi ảnh bìa",IF(I57&lt;0.05,"Click nhưng ít đơn: xem lại giá, video, đánh giá",IF(AND(K57&lt;&gt;"",K57&gt;0.25),"ACOS cao: giảm giá thầu","Ổn: giữ và tăng dần ngân sách")))))</f>
        <v/>
      </c>
    </row>
    <row r="58" customFormat="false" ht="15" hidden="false" customHeight="false" outlineLevel="0" collapsed="false">
      <c r="A58" s="9"/>
      <c r="B58" s="9"/>
      <c r="C58" s="9"/>
      <c r="D58" s="9"/>
      <c r="E58" s="9"/>
      <c r="F58" s="10"/>
      <c r="G58" s="10"/>
      <c r="H58" s="11" t="str">
        <f aca="false">IF(C58&gt;0,D58/C58,"")</f>
        <v/>
      </c>
      <c r="I58" s="6" t="str">
        <f aca="false">IF(D58&gt;0,E58/D58,"")</f>
        <v/>
      </c>
      <c r="J58" s="12" t="str">
        <f aca="false">IF(G58&gt;0,F58/G58,"")</f>
        <v/>
      </c>
      <c r="K58" s="6" t="str">
        <f aca="false">IF(F58&gt;0,G58/F58,"")</f>
        <v/>
      </c>
      <c r="L58" s="4" t="str">
        <f aca="false">IF(C58="","",IF(C58&lt;200,"Ít hiển thị: xem lại từ khóa trong tên",IF(H58&lt;0.015,"CTR thấp: đổi ảnh bìa",IF(I58&lt;0.05,"Click nhưng ít đơn: xem lại giá, video, đánh giá",IF(AND(K58&lt;&gt;"",K58&gt;0.25),"ACOS cao: giảm giá thầu","Ổn: giữ và tăng dần ngân sách")))))</f>
        <v/>
      </c>
    </row>
    <row r="59" customFormat="false" ht="15" hidden="false" customHeight="false" outlineLevel="0" collapsed="false">
      <c r="A59" s="9"/>
      <c r="B59" s="9"/>
      <c r="C59" s="9"/>
      <c r="D59" s="9"/>
      <c r="E59" s="9"/>
      <c r="F59" s="10"/>
      <c r="G59" s="10"/>
      <c r="H59" s="11" t="str">
        <f aca="false">IF(C59&gt;0,D59/C59,"")</f>
        <v/>
      </c>
      <c r="I59" s="6" t="str">
        <f aca="false">IF(D59&gt;0,E59/D59,"")</f>
        <v/>
      </c>
      <c r="J59" s="12" t="str">
        <f aca="false">IF(G59&gt;0,F59/G59,"")</f>
        <v/>
      </c>
      <c r="K59" s="6" t="str">
        <f aca="false">IF(F59&gt;0,G59/F59,"")</f>
        <v/>
      </c>
      <c r="L59" s="4" t="str">
        <f aca="false">IF(C59="","",IF(C59&lt;200,"Ít hiển thị: xem lại từ khóa trong tên",IF(H59&lt;0.015,"CTR thấp: đổi ảnh bìa",IF(I59&lt;0.05,"Click nhưng ít đơn: xem lại giá, video, đánh giá",IF(AND(K59&lt;&gt;"",K59&gt;0.25),"ACOS cao: giảm giá thầu","Ổn: giữ và tăng dần ngân sách")))))</f>
        <v/>
      </c>
    </row>
    <row r="60" customFormat="false" ht="15" hidden="false" customHeight="false" outlineLevel="0" collapsed="false">
      <c r="A60" s="9"/>
      <c r="B60" s="9"/>
      <c r="C60" s="9"/>
      <c r="D60" s="9"/>
      <c r="E60" s="9"/>
      <c r="F60" s="10"/>
      <c r="G60" s="10"/>
      <c r="H60" s="11" t="str">
        <f aca="false">IF(C60&gt;0,D60/C60,"")</f>
        <v/>
      </c>
      <c r="I60" s="6" t="str">
        <f aca="false">IF(D60&gt;0,E60/D60,"")</f>
        <v/>
      </c>
      <c r="J60" s="12" t="str">
        <f aca="false">IF(G60&gt;0,F60/G60,"")</f>
        <v/>
      </c>
      <c r="K60" s="6" t="str">
        <f aca="false">IF(F60&gt;0,G60/F60,"")</f>
        <v/>
      </c>
      <c r="L60" s="4" t="str">
        <f aca="false">IF(C60="","",IF(C60&lt;200,"Ít hiển thị: xem lại từ khóa trong tên",IF(H60&lt;0.015,"CTR thấp: đổi ảnh bìa",IF(I60&lt;0.05,"Click nhưng ít đơn: xem lại giá, video, đánh giá",IF(AND(K60&lt;&gt;"",K60&gt;0.25),"ACOS cao: giảm giá thầu","Ổn: giữ và tăng dần ngân sách")))))</f>
        <v/>
      </c>
    </row>
    <row r="61" customFormat="false" ht="15" hidden="false" customHeight="false" outlineLevel="0" collapsed="false">
      <c r="A61" s="9"/>
      <c r="B61" s="9"/>
      <c r="C61" s="9"/>
      <c r="D61" s="9"/>
      <c r="E61" s="9"/>
      <c r="F61" s="10"/>
      <c r="G61" s="10"/>
      <c r="H61" s="11" t="str">
        <f aca="false">IF(C61&gt;0,D61/C61,"")</f>
        <v/>
      </c>
      <c r="I61" s="6" t="str">
        <f aca="false">IF(D61&gt;0,E61/D61,"")</f>
        <v/>
      </c>
      <c r="J61" s="12" t="str">
        <f aca="false">IF(G61&gt;0,F61/G61,"")</f>
        <v/>
      </c>
      <c r="K61" s="6" t="str">
        <f aca="false">IF(F61&gt;0,G61/F61,"")</f>
        <v/>
      </c>
      <c r="L61" s="4" t="str">
        <f aca="false">IF(C61="","",IF(C61&lt;200,"Ít hiển thị: xem lại từ khóa trong tên",IF(H61&lt;0.015,"CTR thấp: đổi ảnh bìa",IF(I61&lt;0.05,"Click nhưng ít đơn: xem lại giá, video, đánh giá",IF(AND(K61&lt;&gt;"",K61&gt;0.25),"ACOS cao: giảm giá thầu","Ổn: giữ và tăng dần ngân sách")))))</f>
        <v/>
      </c>
    </row>
    <row r="62" customFormat="false" ht="15" hidden="false" customHeight="false" outlineLevel="0" collapsed="false">
      <c r="A62" s="9"/>
      <c r="B62" s="9"/>
      <c r="C62" s="9"/>
      <c r="D62" s="9"/>
      <c r="E62" s="9"/>
      <c r="F62" s="10"/>
      <c r="G62" s="10"/>
      <c r="H62" s="11" t="str">
        <f aca="false">IF(C62&gt;0,D62/C62,"")</f>
        <v/>
      </c>
      <c r="I62" s="6" t="str">
        <f aca="false">IF(D62&gt;0,E62/D62,"")</f>
        <v/>
      </c>
      <c r="J62" s="12" t="str">
        <f aca="false">IF(G62&gt;0,F62/G62,"")</f>
        <v/>
      </c>
      <c r="K62" s="6" t="str">
        <f aca="false">IF(F62&gt;0,G62/F62,"")</f>
        <v/>
      </c>
      <c r="L62" s="4" t="str">
        <f aca="false">IF(C62="","",IF(C62&lt;200,"Ít hiển thị: xem lại từ khóa trong tên",IF(H62&lt;0.015,"CTR thấp: đổi ảnh bìa",IF(I62&lt;0.05,"Click nhưng ít đơn: xem lại giá, video, đánh giá",IF(AND(K62&lt;&gt;"",K62&gt;0.25),"ACOS cao: giảm giá thầu","Ổn: giữ và tăng dần ngân sách")))))</f>
        <v/>
      </c>
    </row>
    <row r="63" customFormat="false" ht="15" hidden="false" customHeight="false" outlineLevel="0" collapsed="false">
      <c r="A63" s="9"/>
      <c r="B63" s="9"/>
      <c r="C63" s="9"/>
      <c r="D63" s="9"/>
      <c r="E63" s="9"/>
      <c r="F63" s="10"/>
      <c r="G63" s="10"/>
      <c r="H63" s="11" t="str">
        <f aca="false">IF(C63&gt;0,D63/C63,"")</f>
        <v/>
      </c>
      <c r="I63" s="6" t="str">
        <f aca="false">IF(D63&gt;0,E63/D63,"")</f>
        <v/>
      </c>
      <c r="J63" s="12" t="str">
        <f aca="false">IF(G63&gt;0,F63/G63,"")</f>
        <v/>
      </c>
      <c r="K63" s="6" t="str">
        <f aca="false">IF(F63&gt;0,G63/F63,"")</f>
        <v/>
      </c>
      <c r="L63" s="4" t="str">
        <f aca="false">IF(C63="","",IF(C63&lt;200,"Ít hiển thị: xem lại từ khóa trong tên",IF(H63&lt;0.015,"CTR thấp: đổi ảnh bìa",IF(I63&lt;0.05,"Click nhưng ít đơn: xem lại giá, video, đánh giá",IF(AND(K63&lt;&gt;"",K63&gt;0.25),"ACOS cao: giảm giá thầu","Ổn: giữ và tăng dần ngân sách")))))</f>
        <v/>
      </c>
    </row>
    <row r="64" customFormat="false" ht="15" hidden="false" customHeight="false" outlineLevel="0" collapsed="false">
      <c r="A64" s="9"/>
      <c r="B64" s="9"/>
      <c r="C64" s="9"/>
      <c r="D64" s="9"/>
      <c r="E64" s="9"/>
      <c r="F64" s="10"/>
      <c r="G64" s="10"/>
      <c r="H64" s="11" t="str">
        <f aca="false">IF(C64&gt;0,D64/C64,"")</f>
        <v/>
      </c>
      <c r="I64" s="6" t="str">
        <f aca="false">IF(D64&gt;0,E64/D64,"")</f>
        <v/>
      </c>
      <c r="J64" s="12" t="str">
        <f aca="false">IF(G64&gt;0,F64/G64,"")</f>
        <v/>
      </c>
      <c r="K64" s="6" t="str">
        <f aca="false">IF(F64&gt;0,G64/F64,"")</f>
        <v/>
      </c>
      <c r="L64" s="4" t="str">
        <f aca="false">IF(C64="","",IF(C64&lt;200,"Ít hiển thị: xem lại từ khóa trong tên",IF(H64&lt;0.015,"CTR thấp: đổi ảnh bìa",IF(I64&lt;0.05,"Click nhưng ít đơn: xem lại giá, video, đánh giá",IF(AND(K64&lt;&gt;"",K64&gt;0.25),"ACOS cao: giảm giá thầu","Ổn: giữ và tăng dần ngân sách")))))</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20"/>
  </cols>
  <sheetData>
    <row r="1" customFormat="false" ht="16.15" hidden="false" customHeight="false" outlineLevel="0" collapsed="false">
      <c r="A1" s="1" t="s">
        <v>136</v>
      </c>
    </row>
    <row r="3" customFormat="false" ht="15" hidden="false" customHeight="false" outlineLevel="0" collapsed="false">
      <c r="A3" s="3" t="s">
        <v>137</v>
      </c>
      <c r="B3" s="3" t="s">
        <v>138</v>
      </c>
    </row>
    <row r="4" customFormat="false" ht="26.85" hidden="false" customHeight="false" outlineLevel="0" collapsed="false">
      <c r="A4" s="4" t="s">
        <v>139</v>
      </c>
      <c r="B4" s="4" t="s">
        <v>140</v>
      </c>
    </row>
    <row r="5" customFormat="false" ht="15" hidden="false" customHeight="false" outlineLevel="0" collapsed="false">
      <c r="A5" s="4" t="s">
        <v>141</v>
      </c>
      <c r="B5" s="4" t="s">
        <v>142</v>
      </c>
    </row>
    <row r="6" customFormat="false" ht="26.85" hidden="false" customHeight="false" outlineLevel="0" collapsed="false">
      <c r="A6" s="4" t="s">
        <v>143</v>
      </c>
      <c r="B6" s="4" t="s">
        <v>144</v>
      </c>
    </row>
    <row r="7" customFormat="false" ht="15" hidden="false" customHeight="false" outlineLevel="0" collapsed="false">
      <c r="A7" s="4" t="s">
        <v>145</v>
      </c>
      <c r="B7" s="4" t="s">
        <v>146</v>
      </c>
    </row>
    <row r="8" customFormat="false" ht="26.85" hidden="false" customHeight="false" outlineLevel="0" collapsed="false">
      <c r="A8" s="4" t="s">
        <v>147</v>
      </c>
      <c r="B8" s="4" t="s">
        <v>148</v>
      </c>
    </row>
    <row r="9" customFormat="false" ht="15" hidden="false" customHeight="false" outlineLevel="0" collapsed="false">
      <c r="A9" s="4" t="s">
        <v>149</v>
      </c>
      <c r="B9" s="4" t="s">
        <v>150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2026-10-07T10:05:12Z</dcterms:created>
  <dc:creator>openpyxl</dc:creator>
  <dc:description/>
  <dc:language>en-US</dc:language>
  <cp:lastModifiedBy/>
  <dcterms:modified xsi:type="dcterms:W3CDTF">2026-10-07T10:05:12Z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